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_listas!$B$2:$B$500</definedName>
    <definedName function="false" hidden="false" name="Materiales_lista" vbProcedure="false">_listas!$A$2:$A$500</definedName>
  </definedNames>
  <calcPr iterateCount="100" refMode="A1" iterate="false" iterateDelta="0.001" fullCalcOnLoad="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<sst xmlns="http://schemas.openxmlformats.org/spreadsheetml/2006/main" count="653" uniqueCount="653">
  <si>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</si>
  <si>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</si>
  <si>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</si>
  <si>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</si>
  <si>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</si>
  <si>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</si>
  <si>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</si>
  <si>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</si>
  <si>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</si>
  <si>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</si>
  <si>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</si>
  <si>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</si>
  <si>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</si>
  <si>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</si>
  <si>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</si>
  <si>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</si>
  <si>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</si>
  <si>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</si>
  <si>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</si>
  <si>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</si>
  <si>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</si>
  <si>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</si>
  <si>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</si>
  <si>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</si>
  <si>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</si>
  <si>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</si>
  <si>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</si>
  <si>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</si>
  <si>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</si>
  <si>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</si>
  <si>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</si>
  <si>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</si>
  <si>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</si>
  <si>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</si>
  <si>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</si>
  <si>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</si>
  <si>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</si>
  <si>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</si>
  <si>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</si>
  <si>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</si>
  <si>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</si>
  <si>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</si>
  <si>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</si>
  <si>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</si>
  <si>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</si>
  <si>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</si>
  <si>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</si>
  <si>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</si>
  <si>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</si>
  <si>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</si>
  <si>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</si>
  <si>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</si>
  <si>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</si>
  <si>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</si>
  <si>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</si>
  <si>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</si>
  <si>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</si>
  <si>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</si>
  <si>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</si>
  <si>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</si>
  <si>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</si>
  <si>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</si>
  <si>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</si>
  <si>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</si>
  <si>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</si>
  <si>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</si>
  <si>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</si>
  <si>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</si>
  <si>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</si>
  <si>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</si>
  <si>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</si>
  <si>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</si>
  <si>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</si>
  <si>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</si>
  <si>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</si>
  <si>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</si>
  <si>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</si>
  <si>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</si>
  <si>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</si>
  <si>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</si>
  <si>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</si>
  <si>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</si>
  <si>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</si>
  <si>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</si>
  <si>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</si>
  <si>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</si>
  <si>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</si>
  <si>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</si>
  <si>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</si>
  <si>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</si>
  <si>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</si>
  <si>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</si>
  <si>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</si>
  <si>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</si>
  <si>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</si>
  <si>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</si>
  <si>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</si>
  <si>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</si>
  <si>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</si>
  <si>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</si>
  <si>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</si>
  <si>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</si>
  <si>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</si>
  <si>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</si>
  <si>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</si>
  <si>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</si>
  <si>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</si>
  <si>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</si>
  <si>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</si>
  <si>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</si>
  <si>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</si>
  <si>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</si>
  <si>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</si>
  <si>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</si>
  <si>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</si>
  <si>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</si>
  <si>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</si>
  <si>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</si>
  <si>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</si>
  <si>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</si>
  <si>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</si>
  <si>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</si>
  <si>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</si>
  <si>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</si>
  <si>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</si>
  <si>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</si>
  <si>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</si>
  <si>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</si>
  <si>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</si>
  <si>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</si>
  <si>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</si>
  <si>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</si>
  <si>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</si>
  <si>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</si>
  <si>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</si>
  <si>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</si>
  <si>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</si>
  <si>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</si>
  <si>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</si>
  <si>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</si>
  <si>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</si>
  <si>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</si>
  <si>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</si>
  <si>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</si>
  <si>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</si>
  <si>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</si>
  <si>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</si>
  <si>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</si>
  <si>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</si>
  <si>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</si>
  <si>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</si>
  <si>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</si>
  <si>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</si>
  <si>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</si>
  <si>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</si>
  <si>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</si>
  <si>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</si>
  <si>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</si>
  <si>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</si>
  <si>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</si>
  <si>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</si>
  <si>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</si>
  <si>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</si>
  <si>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</si>
  <si>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</si>
  <si>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</si>
  <si>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</si>
  <si>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</si>
  <si>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</si>
  <si>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</si>
  <si>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</si>
  <si>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</si>
  <si>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</si>
  <si>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</si>
  <si>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</si>
  <si>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</si>
  <si>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</si>
  <si>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</si>
  <si>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</si>
  <si>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</si>
  <si>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</si>
  <si>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</si>
  <si>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</si>
  <si>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</si>
  <si>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</si>
  <si>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</si>
  <si>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</si>
  <si>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</si>
  <si>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</si>
  <si>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</si>
  <si>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</si>
  <si>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</si>
  <si>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</si>
  <si>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</si>
  <si>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</si>
  <si>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</si>
  <si>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</si>
  <si>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</si>
  <si>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</si>
  <si>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</si>
  <si>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</si>
  <si>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</si>
  <si>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</si>
  <si>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</si>
  <si>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</si>
  <si>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</si>
  <si>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</si>
  <si>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</si>
  <si>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</si>
  <si>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</si>
  <si>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</si>
  <si>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</si>
  <si>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</si>
  <si>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</si>
  <si>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</si>
  <si>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</si>
  <si>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</si>
  <si>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</si>
  <si>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</si>
  <si>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</si>
  <si>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</si>
  <si>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</si>
  <si>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</si>
  <si>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</si>
  <si>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</si>
  <si>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</si>
  <si>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</si>
  <si>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</si>
  <si>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</si>
  <si>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</si>
  <si>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</si>
  <si>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</si>
  <si>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</si>
  <si>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</si>
  <si>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</si>
  <si>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</si>
  <si>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</si>
  <si>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</si>
  <si>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</si>
  <si>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</si>
  <si>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</si>
  <si>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</si>
  <si>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</si>
  <si>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</si>
  <si>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</si>
  <si>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</si>
  <si>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</si>
  <si>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</si>
  <si>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</si>
  <si>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</si>
  <si>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</si>
  <si>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</si>
  <si>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</si>
  <si>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</si>
  <si>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</si>
  <si>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</si>
  <si>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</si>
  <si>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</si>
  <si>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</si>
  <si>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</si>
  <si>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</si>
  <si>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</si>
  <si>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</si>
  <si>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</si>
  <si>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</si>
  <si>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</si>
  <si>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</si>
  <si>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</si>
  <si>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</si>
  <si>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</si>
  <si>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</si>
  <si>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</si>
  <si>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</si>
  <si>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</si>
  <si>
    <t xml:space="preserve">Sinónimos</t>
  </si>
  <si>
    <t xml:space="preserve">Formato</t>
  </si>
  <si>
    <t xml:space="preserve">Familia</t>
  </si>
  <si>
    <t xml:space="preserve">Tarjetas personales</t>
  </si>
  <si>
    <t xml:space="preserve">Tarjetas de presentación 9x5 cm, full color. Simple o doble faz, en papel ilustración o kraft 280 g, con opción encapsulada (plastificada de ambos lados). Se cotizan por cantidad cerrada: 100, 500 o 1000.</t>
  </si>
  <si>
    <t xml:space="preserve">Tarjetas 9x5 simple faz x100</t>
  </si>
  <si>
    <t xml:space="preserve">Papelería comercial</t>
  </si>
  <si>
    <t xml:space="preserve">Papelería impresa con la marca del negocio: hojas membretadas, sobres, talonarios de factura o remito, notas de pedido, recetarios y carpetas institucionales.</t>
  </si>
  <si>
    <t xml:space="preserve">Impresión digital</t>
  </si>
  <si>
    <t xml:space="preserve">Impresión de archivos por hoja, en color o blanco y negro, A4 y A3. En papel obra, ilustración u opalina. El precio por hoja baja según la cantidad.</t>
  </si>
  <si>
    <t xml:space="preserve">sí</t>
  </si>
  <si>
    <t xml:space="preserve">Encuadernación y terminaciones</t>
  </si>
  <si>
    <t xml:space="preserve">Trabajos que se hacen sobre un impreso ya listo: anillado, wire-o, fresado, abrochado, laminado, plastificado, troquelado, ojalillos y numerado. Se cobran por unidad y no incluyen la impresión.</t>
  </si>
  <si>
    <t xml:space="preserve">Folletería y editorial</t>
  </si>
  <si>
    <t xml:space="preserve">Volantes, anotadores, apuntes y libros de estudio.</t>
  </si>
  <si>
    <t xml:space="preserve">Gran formato y cartelería</t>
  </si>
  <si>
    <t xml:space="preserve">Posters, banners roll-up y porta banners tipo X, listos para usar.</t>
  </si>
  <si>
    <t xml:space="preserve">Señalética y punto de venta</t>
  </si>
  <si>
    <t xml:space="preserve">Carteles de seguridad e higiene, cartas y menús plastificados, y carteles de precios para el local.</t>
  </si>
  <si>
    <t xml:space="preserve">Eventos y sociales</t>
  </si>
  <si>
    <t xml:space="preserve">Tarjetería para eventos: agradecimiento, invitaciones y afines.</t>
  </si>
  <si>
    <t xml:space="preserve">paquete de 100 tarjetas</t>
  </si>
  <si>
    <t xml:space="preserve">Tarjetas 9x5 simple faz</t>
  </si>
  <si>
    <t xml:space="preserve">Tarjetas 9x5 simple faz encapsuladas x100</t>
  </si>
  <si>
    <t xml:space="preserve">Tarjetas 9x5 simple faz encapsuladas</t>
  </si>
  <si>
    <t xml:space="preserve">Tarjetas 9x5 doble faz x100</t>
  </si>
  <si>
    <t xml:space="preserve">Tarjetas 9x5 doble faz</t>
  </si>
  <si>
    <t xml:space="preserve">Tarjetas 9x5 doble faz encapsuladas x100</t>
  </si>
  <si>
    <t xml:space="preserve">Tarjetas 9x5 doble faz encapsuladas</t>
  </si>
  <si>
    <t xml:space="preserve">Tarjetas 9x5 kraft simple faz x100</t>
  </si>
  <si>
    <t xml:space="preserve">Tarjetas 9x5 kraft simple faz</t>
  </si>
  <si>
    <t xml:space="preserve">Tarjetas 9x5 kraft doble faz x100</t>
  </si>
  <si>
    <t xml:space="preserve">Tarjetas 9x5 kraft doble faz</t>
  </si>
  <si>
    <t xml:space="preserve">Tarjetas 9x5 simple faz x500</t>
  </si>
  <si>
    <t xml:space="preserve">paquete de 500 tarjetas</t>
  </si>
  <si>
    <t xml:space="preserve">Tarjetas 9x5 simple faz encapsuladas x500</t>
  </si>
  <si>
    <t xml:space="preserve">Tarjetas 9x5 doble faz x500</t>
  </si>
  <si>
    <t xml:space="preserve">Tarjetas 9x5 doble faz encapsuladas x500</t>
  </si>
  <si>
    <t xml:space="preserve">Tarjetas 9x5 simple faz x1000</t>
  </si>
  <si>
    <t xml:space="preserve">paquete de 1000 tarjetas</t>
  </si>
  <si>
    <t xml:space="preserve">Tarjetas 9x5 simple faz encapsuladas x1000</t>
  </si>
  <si>
    <t xml:space="preserve">Tarjetas 9x5 doble faz x1000</t>
  </si>
  <si>
    <t xml:space="preserve">Tarjetas 9x5 doble faz encapsuladas x1000</t>
  </si>
  <si>
    <t xml:space="preserve">Hojas membretadas A4 x500</t>
  </si>
  <si>
    <t xml:space="preserve">paquete de 500 hojas</t>
  </si>
  <si>
    <t xml:space="preserve">Sobres impresos x100</t>
  </si>
  <si>
    <t xml:space="preserve">paquete de 100 sobres</t>
  </si>
  <si>
    <t xml:space="preserve">Talonarios x10</t>
  </si>
  <si>
    <t xml:space="preserve">paquete de 10 talonarios</t>
  </si>
  <si>
    <t xml:space="preserve">Sobres oficio inglés</t>
  </si>
  <si>
    <t xml:space="preserve">unidad</t>
  </si>
  <si>
    <t xml:space="preserve">Carpetas institucionales sin laminar</t>
  </si>
  <si>
    <t xml:space="preserve">Carpetas institucionales laminadas</t>
  </si>
  <si>
    <t xml:space="preserve">Recetarios en negro</t>
  </si>
  <si>
    <t xml:space="preserve">Recetarios en color</t>
  </si>
  <si>
    <t xml:space="preserve">Impresión color A4 simple faz</t>
  </si>
  <si>
    <t xml:space="preserve">hoja</t>
  </si>
  <si>
    <t xml:space="preserve">Impresión color A4 doble faz</t>
  </si>
  <si>
    <t xml:space="preserve">Impresión blanco y negro A4 simple faz</t>
  </si>
  <si>
    <t xml:space="preserve">Impresión blanco y negro A4 doble faz</t>
  </si>
  <si>
    <t xml:space="preserve">Impresión color A3</t>
  </si>
  <si>
    <t xml:space="preserve">Impresión blanco y negro A3</t>
  </si>
  <si>
    <t xml:space="preserve">Impresión en papel ilustración</t>
  </si>
  <si>
    <t xml:space="preserve">Impresión en opalina</t>
  </si>
  <si>
    <t xml:space="preserve">Anillado plástico</t>
  </si>
  <si>
    <t xml:space="preserve">Anillado metálico wire-o</t>
  </si>
  <si>
    <t xml:space="preserve">Encuadernación abrochada</t>
  </si>
  <si>
    <t xml:space="preserve">Encuadernación fresada</t>
  </si>
  <si>
    <t xml:space="preserve">Laminado</t>
  </si>
  <si>
    <t xml:space="preserve">Plastificado A4</t>
  </si>
  <si>
    <t xml:space="preserve">Plastificado de documentos</t>
  </si>
  <si>
    <t xml:space="preserve">Plastificado oficio</t>
  </si>
  <si>
    <t xml:space="preserve">Plastificado A3</t>
  </si>
  <si>
    <t xml:space="preserve">Plastificado carnet</t>
  </si>
  <si>
    <t xml:space="preserve">Plastificado cocodrilo</t>
  </si>
  <si>
    <t xml:space="preserve">Troquelado y corte a medida</t>
  </si>
  <si>
    <t xml:space="preserve">Colocación de ojalillos</t>
  </si>
  <si>
    <t xml:space="preserve">Numerado correlativo</t>
  </si>
  <si>
    <t xml:space="preserve">Perforado x500</t>
  </si>
  <si>
    <t xml:space="preserve">paquete de 500 perforados</t>
  </si>
  <si>
    <t xml:space="preserve">Volantes A6 x500</t>
  </si>
  <si>
    <t xml:space="preserve">paquete de 500 volantes</t>
  </si>
  <si>
    <t xml:space="preserve">Libros de medicina</t>
  </si>
  <si>
    <t xml:space="preserve">Pack 4 libros de medicina</t>
  </si>
  <si>
    <t xml:space="preserve">pack</t>
  </si>
  <si>
    <t xml:space="preserve">Anotadores personalizados en negro</t>
  </si>
  <si>
    <t xml:space="preserve">Anotadores personalizados en color</t>
  </si>
  <si>
    <t xml:space="preserve">Posters A3 y A2</t>
  </si>
  <si>
    <t xml:space="preserve">Banner roll-up</t>
  </si>
  <si>
    <t xml:space="preserve">Porta banner tipo X</t>
  </si>
  <si>
    <t xml:space="preserve">Cartelería en plástico corrugado A3</t>
  </si>
  <si>
    <t xml:space="preserve">Cartas y menús plastificados</t>
  </si>
  <si>
    <t xml:space="preserve">Impresión color más plastificado</t>
  </si>
  <si>
    <t xml:space="preserve">Stickers en plancha sin cortar</t>
  </si>
  <si>
    <t xml:space="preserve">La plancha impresa sin corte: el cliente recorta a mano. Papel autoadhesivo brillo. Sale más barato que el troquelado.</t>
  </si>
  <si>
    <t xml:space="preserve">sin cortar, sin troquelar, plancha entera, solo impresión, recorto yo</t>
  </si>
  <si>
    <t xml:space="preserve">Stickers en OPP brillo sin cortar</t>
  </si>
  <si>
    <t xml:space="preserve">Plancha de OPP brillo impresa sin corte. Más resistente al roce y a la humedad que el papel.</t>
  </si>
  <si>
    <t xml:space="preserve">Stickers holográficos sin cortar</t>
  </si>
  <si>
    <t xml:space="preserve">Plancha de OPP tornasolado impresa sin corte. También en plata, cristal y mate.</t>
  </si>
  <si>
    <t xml:space="preserve">Cartel adhesivo con blanco o barniz</t>
  </si>
  <si>
    <t xml:space="preserve">Vinilo UV con una capa de blanco o barniz: da más cuerpo al color sobre superficies oscuras o transparentes.</t>
  </si>
  <si>
    <t xml:space="preserve">con blanco, con barniz, para vidrio, para superficie oscura</t>
  </si>
  <si>
    <t xml:space="preserve">100 tarjetas 9x5 cm simple faz</t>
  </si>
  <si>
    <t xml:space="preserve">Tarjetas de presentación full color, impresas de un lado. El precio es por las 100.</t>
  </si>
  <si>
    <t xml:space="preserve">tarjetas personales, tarjetas de presentación, tarjetas comerciales</t>
  </si>
  <si>
    <t xml:space="preserve">100 tarjetas 9x5 cm simple faz encapsuladas</t>
  </si>
  <si>
    <t xml:space="preserve">Impresas de un lado y plastificadas de los dos: más resistentes y con mejor tacto.</t>
  </si>
  <si>
    <t xml:space="preserve">100 tarjetas 9x5 cm doble faz</t>
  </si>
  <si>
    <t xml:space="preserve">Full color de los dos lados. El precio es por las 100.</t>
  </si>
  <si>
    <t xml:space="preserve">100 tarjetas 9x5 cm doble faz encapsuladas</t>
  </si>
  <si>
    <t xml:space="preserve">Impresas de los dos lados y plastificadas.</t>
  </si>
  <si>
    <t xml:space="preserve">100 tarjetas 9x5 cm en papel kraft simple faz</t>
  </si>
  <si>
    <t xml:space="preserve">Papel kraft 280 g, con textura y color natural. Impresas de un lado.</t>
  </si>
  <si>
    <t xml:space="preserve">100 tarjetas 9x5 cm en papel kraft doble faz</t>
  </si>
  <si>
    <t xml:space="preserve">Papel kraft 280 g, impresas de los dos lados.</t>
  </si>
  <si>
    <t xml:space="preserve">500 tarjetas 9x5 cm simple faz</t>
  </si>
  <si>
    <t xml:space="preserve">Full color de un lado. El precio es por las 500.</t>
  </si>
  <si>
    <t xml:space="preserve">500 tarjetas 9x5 cm simple faz encapsuladas</t>
  </si>
  <si>
    <t xml:space="preserve">De un lado y plastificadas. El precio es por las 500.</t>
  </si>
  <si>
    <t xml:space="preserve">500 tarjetas 9x5 cm doble faz</t>
  </si>
  <si>
    <t xml:space="preserve">Full color de los dos lados. El precio es por las 500.</t>
  </si>
  <si>
    <t xml:space="preserve">500 tarjetas 9x5 cm doble faz encapsuladas</t>
  </si>
  <si>
    <t xml:space="preserve">De los dos lados y plastificadas. El precio es por las 500.</t>
  </si>
  <si>
    <t xml:space="preserve">1000 tarjetas 9x5 cm simple faz</t>
  </si>
  <si>
    <t xml:space="preserve">Full color de un lado. El precio es por las 1000.</t>
  </si>
  <si>
    <t xml:space="preserve">1000 tarjetas 9x5 cm simple faz encapsuladas</t>
  </si>
  <si>
    <t xml:space="preserve">De un lado y plastificadas. El precio es por las 1000.</t>
  </si>
  <si>
    <t xml:space="preserve">1000 tarjetas 9x5 cm doble faz</t>
  </si>
  <si>
    <t xml:space="preserve">Full color de los dos lados. El precio es por las 1000.</t>
  </si>
  <si>
    <t xml:space="preserve">1000 tarjetas 9x5 cm doble faz encapsuladas</t>
  </si>
  <si>
    <t xml:space="preserve">De los dos lados y plastificadas. El precio es por las 1000.</t>
  </si>
  <si>
    <t xml:space="preserve">500 hojas membretadas A4</t>
  </si>
  <si>
    <t xml:space="preserve">Hojas A4 impresas con el logo y los datos del negocio. El precio es por las 500.</t>
  </si>
  <si>
    <t xml:space="preserve">hojas membretadas, papel con logo, membrete</t>
  </si>
  <si>
    <t xml:space="preserve">A4</t>
  </si>
  <si>
    <t xml:space="preserve">100 sobres impresos</t>
  </si>
  <si>
    <t xml:space="preserve">Sobres con el logo y los datos del negocio. El precio es por los 100.</t>
  </si>
  <si>
    <t xml:space="preserve">sobres membretados, sobres con logo</t>
  </si>
  <si>
    <t xml:space="preserve">10 talonarios de factura o remito</t>
  </si>
  <si>
    <t xml:space="preserve">10 talonarios A5 de 50 juegos por duplicado, abrochados y troquelados. El precio es por los 10 talonarios.</t>
  </si>
  <si>
    <t xml:space="preserve">talonarios, facturas, remitos, notas de pedido, comandas</t>
  </si>
  <si>
    <t xml:space="preserve">A5</t>
  </si>
  <si>
    <t xml:space="preserve">Sobre tamaño oficio inglés impreso. Se cobra por unidad y el precio baja por cantidad.</t>
  </si>
  <si>
    <t xml:space="preserve">sobres, sobres oficio</t>
  </si>
  <si>
    <t xml:space="preserve">Carpetas institucionales</t>
  </si>
  <si>
    <t xml:space="preserve">Carpeta de presentación A4 cerrada, en cartulina 300 g, troquelada, con solapa y ranura. Sin laminar. Se cobra por unidad.</t>
  </si>
  <si>
    <t xml:space="preserve">carpetas, carpetas de presentación, folders</t>
  </si>
  <si>
    <t xml:space="preserve">A4 cerrada</t>
  </si>
  <si>
    <t xml:space="preserve">La misma carpeta A4, plastificada: más resistente al uso y al roce.</t>
  </si>
  <si>
    <t xml:space="preserve">Talonario de recetas impreso en negro. Mínimo 5 unidades.</t>
  </si>
  <si>
    <t xml:space="preserve">recetarios, recetas médicas, blocks de receta</t>
  </si>
  <si>
    <t xml:space="preserve">A5 o A6</t>
  </si>
  <si>
    <t xml:space="preserve">Talonario de recetas impreso full color. Mínimo 5 unidades.</t>
  </si>
  <si>
    <t xml:space="preserve">Impresión color A4</t>
  </si>
  <si>
    <t xml:space="preserve">Impresión full color en papel obra 75 g, de un lado. Se cobra por hoja y el precio baja por cantidad.</t>
  </si>
  <si>
    <t xml:space="preserve">imprimir, impresiones, copias en color</t>
  </si>
  <si>
    <t xml:space="preserve">Full color de los dos lados de la hoja.</t>
  </si>
  <si>
    <t xml:space="preserve">Impresión blanco y negro A4</t>
  </si>
  <si>
    <t xml:space="preserve">Impresión en blanco y negro en papel obra 75 g, de un lado. Se cobra por hoja.</t>
  </si>
  <si>
    <t xml:space="preserve">imprimir, impresiones, impresión de archivos, fotocopias</t>
  </si>
  <si>
    <t xml:space="preserve">Blanco y negro de los dos lados de la hoja. Es lo que se usa para apuntes y material de estudio: se cuentan las hojas y se le suma el anillado.</t>
  </si>
  <si>
    <t xml:space="preserve">Impresión láser full color en A3. Se cobra por hoja.</t>
  </si>
  <si>
    <t xml:space="preserve">A3</t>
  </si>
  <si>
    <t xml:space="preserve">Impresión en blanco y negro en A3. Se cobra por hoja.</t>
  </si>
  <si>
    <t xml:space="preserve">Papel ilustración: más grueso y con terminación satinada.</t>
  </si>
  <si>
    <t xml:space="preserve">Opalina: papel rígido y liso, para certificados y diplomas.</t>
  </si>
  <si>
    <t xml:space="preserve">Anillado con espiral plástico. Se cobra por unidad y no incluye la impresión.</t>
  </si>
  <si>
    <t xml:space="preserve">anillado, espiralado, espiral, encuadernado con anillo</t>
  </si>
  <si>
    <t xml:space="preserve">A4 u oficio</t>
  </si>
  <si>
    <t xml:space="preserve">Anillado con espiral metálico wire-o. No incluye la impresión.</t>
  </si>
  <si>
    <t xml:space="preserve">A4 o A3</t>
  </si>
  <si>
    <t xml:space="preserve">Encuadernación abrochada a caballo</t>
  </si>
  <si>
    <t xml:space="preserve">Abrochado al centro, para cuadernillos de pocas hojas. No incluye la impresión.</t>
  </si>
  <si>
    <t xml:space="preserve">Encuadernación pegada, tipo libro. No incluye la impresión.</t>
  </si>
  <si>
    <t xml:space="preserve">encuadernación, empastado, tesis, libros</t>
  </si>
  <si>
    <t xml:space="preserve">Laminado mate o brillante</t>
  </si>
  <si>
    <t xml:space="preserve">Plastificado fino sobre el impreso, mate o brillante. Se cobra por unidad.</t>
  </si>
  <si>
    <t xml:space="preserve">laminado, plastificado, brillo, mate</t>
  </si>
  <si>
    <t xml:space="preserve">Plastificado de documentos A4</t>
  </si>
  <si>
    <t xml:space="preserve">Plastificado rígido de documentos en A4. Se cobra por unidad.</t>
  </si>
  <si>
    <t xml:space="preserve">plastificado, laminado rígido, plastificar</t>
  </si>
  <si>
    <t xml:space="preserve">Plastificado de documentos oficio</t>
  </si>
  <si>
    <t xml:space="preserve">Plastificado rígido en tamaño oficio.</t>
  </si>
  <si>
    <t xml:space="preserve">oficio</t>
  </si>
  <si>
    <t xml:space="preserve">Plastificado de documentos A3</t>
  </si>
  <si>
    <t xml:space="preserve">Plastificado rígido en A3.</t>
  </si>
  <si>
    <t xml:space="preserve">Plastificado de credencial o carnet 9x13</t>
  </si>
  <si>
    <t xml:space="preserve">Plastificado de credenciales y carnets, 9x13 cm.</t>
  </si>
  <si>
    <t xml:space="preserve">credencial, carnet, plastificar carnet</t>
  </si>
  <si>
    <t xml:space="preserve">9x13 cm</t>
  </si>
  <si>
    <t xml:space="preserve">Plastificado cocodrilo, el formato más chico.</t>
  </si>
  <si>
    <t xml:space="preserve">cocodrilo</t>
  </si>
  <si>
    <t xml:space="preserve">Corte con forma sobre un impreso. Se cobra por unidad.</t>
  </si>
  <si>
    <t xml:space="preserve">troquelado, corte con forma, troquel</t>
  </si>
  <si>
    <t xml:space="preserve">Colocación de ojalillos metálicos. Se cobra por ojalillo.</t>
  </si>
  <si>
    <t xml:space="preserve">ojales, ojalillos, arandelas</t>
  </si>
  <si>
    <t xml:space="preserve">Numeración correlativa sobre el impreso.</t>
  </si>
  <si>
    <t xml:space="preserve">numerado, numeración, correlativo</t>
  </si>
  <si>
    <t xml:space="preserve">500 perforados o microperforados</t>
  </si>
  <si>
    <t xml:space="preserve">Perforado o microperforado. El precio es por los 500.</t>
  </si>
  <si>
    <t xml:space="preserve">perforado, agujeros, microperforado</t>
  </si>
  <si>
    <t xml:space="preserve">500 volantes A6</t>
  </si>
  <si>
    <t xml:space="preserve">Volantes 10x15 cm full color. El precio es por los 500.</t>
  </si>
  <si>
    <t xml:space="preserve">volantes, flyers, panfletos, folletos</t>
  </si>
  <si>
    <t xml:space="preserve">A6 (10x15 cm)</t>
  </si>
  <si>
    <t xml:space="preserve">Cuatro títulos puntuales: ROSS Histología, LANGMAN Embriología Médica, GUYTON &amp; HALL Fisiología y MOORE Anatomía Clínica. Mismo precio cada uno, sin importar la cantidad de páginas. Solo estos cuatro.</t>
  </si>
  <si>
    <t xml:space="preserve">ross, langman, guyton, hall, moore, histología, embriología, fisiología, anatomía, anatomía clínica</t>
  </si>
  <si>
    <t xml:space="preserve">Los cuatro libros juntos: ROSS, LANGMAN, GUYTON &amp; HALL y MOORE.</t>
  </si>
  <si>
    <t xml:space="preserve">pack de libros, combo medicina, los 4 libros</t>
  </si>
  <si>
    <t xml:space="preserve">Anotadores personalizados</t>
  </si>
  <si>
    <t xml:space="preserve">Taco de anotador 10x15 cm impreso en negro. Se cobra por unidad.</t>
  </si>
  <si>
    <t xml:space="preserve">anotadores, tacos, blocks, libretas</t>
  </si>
  <si>
    <t xml:space="preserve">10x15 cm</t>
  </si>
  <si>
    <t xml:space="preserve">El mismo taco 10x15 cm, impreso full color.</t>
  </si>
  <si>
    <t xml:space="preserve">Poster impreso full color, A3 o A2. Se cobra por unidad.</t>
  </si>
  <si>
    <t xml:space="preserve">posters, afiches, láminas</t>
  </si>
  <si>
    <t xml:space="preserve">A3 o A2</t>
  </si>
  <si>
    <t xml:space="preserve">Banner roll-up 85x200 cm</t>
  </si>
  <si>
    <t xml:space="preserve">Banner enrollable con estructura de aluminio y bolso. Listo para usar.</t>
  </si>
  <si>
    <t xml:space="preserve">roll up, banner enrollable</t>
  </si>
  <si>
    <t xml:space="preserve">Porta banner tipo X 90x190 cm</t>
  </si>
  <si>
    <t xml:space="preserve">Estructura tipo X con la lona impresa, 90x190 cm. Liviana y fácil de armar.</t>
  </si>
  <si>
    <t xml:space="preserve">porta banner, araña, banner tipo x</t>
  </si>
  <si>
    <t xml:space="preserve">Cartelería de seguridad e higiene A3</t>
  </si>
  <si>
    <t xml:space="preserve">Carteles reglamentarios de seguridad e higiene, en A3 (29,7x42 cm) sobre plástico corrugado. Este precio es solo para el A3; en otra medida se cotiza como cartel.</t>
  </si>
  <si>
    <t xml:space="preserve">cartel de seguridad, señalética, higiene y seguridad, cartel reglamentario</t>
  </si>
  <si>
    <t xml:space="preserve">Señalética de baños y accesos A3</t>
  </si>
  <si>
    <t xml:space="preserve">Señalética de baños y accesos en A3 sobre plástico corrugado. Para interior también se puede en A4 plastificado.</t>
  </si>
  <si>
    <t xml:space="preserve">señalética, cartel de baño, cartel de acceso, señal</t>
  </si>
  <si>
    <t xml:space="preserve">Cartas y menús plastificados A4</t>
  </si>
  <si>
    <t xml:space="preserve">Carta o menú A4 impreso y plastificado, para que aguante el uso diario.</t>
  </si>
  <si>
    <t xml:space="preserve">cartas, menús, carta de restaurante</t>
  </si>
  <si>
    <t xml:space="preserve">Carteles de precios y ofertas A3</t>
  </si>
  <si>
    <t xml:space="preserve">Cartel de precios u ofertas en A3: impresión color más plastificado.</t>
  </si>
  <si>
    <t xml:space="preserve">cartel de precios, cartel de oferta, cartel para el local</t>
  </si>
  <si>
    <t xml:space="preserve">100 tarjetas de agradecimiento</t>
  </si>
  <si>
    <t xml:space="preserve">Tarjetas 9x5 cm para agradecer a los invitados. El precio es por las 100.</t>
  </si>
  <si>
    <t xml:space="preserve">tarjetas de agradecimiento, tarjetas de evento</t>
  </si>
  <si>
    <t xml:space="preserve">100 tarjetas 9x5 simple faz</t>
  </si>
  <si>
    <t xml:space="preserve">500 tarjetas 9x5 doble faz</t>
  </si>
  <si>
    <t xml:space="preserve">1000 tarjetas 9x5 simple faz encapsuladas</t>
  </si>
  <si>
    <t xml:space="preserve">10 talonarios de factura</t>
  </si>
  <si>
    <t xml:space="preserve">1 banner roll-up 85x200</t>
  </si>
  <si>
    <t xml:space="preserve">250 sobres oficio inglés</t>
  </si>
  <si>
    <t xml:space="preserve">150 sobres oficio inglés (tramo 1-200)</t>
  </si>
  <si>
    <t xml:space="preserve">600 sobres oficio inglés (tramo 501-1000)</t>
  </si>
  <si>
    <t xml:space="preserve">1200 sobres oficio inglés (tramo 1001+)</t>
  </si>
  <si>
    <t xml:space="preserve">30 carpetas institucionales</t>
  </si>
  <si>
    <t xml:space="preserve">30 carpetas institucionales laminadas</t>
  </si>
  <si>
    <t xml:space="preserve">200 impresiones color A4</t>
  </si>
  <si>
    <t xml:space="preserve">15 anotadores en color</t>
  </si>
  <si>
    <t xml:space="preserve">40 anillados plásticos</t>
  </si>
  <si>
    <t xml:space="preserve">200 sobres oficio inglés (último del tramo)</t>
  </si>
  <si>
    <t xml:space="preserve">201 sobres oficio inglés (primero del siguiente)</t>
  </si>
  <si>
    <t xml:space="preserve">20 carpetas institucionales (último del tramo)</t>
  </si>
  <si>
    <t xml:space="preserve">21 carpetas institucionales (sale MÁS que 20)</t>
  </si>
  <si>
    <t xml:space="preserve">1 laminado (exento del mínimo)</t>
  </si>
  <si>
    <t xml:space="preserve">1 colocación de ojalillos (exento)</t>
  </si>
  <si>
    <t xml:space="preserve">1 impresión b/n A4 (exenta: $100, no $4.000)</t>
  </si>
  <si>
    <t xml:space="preserve">1 sobre oficio inglés (exento: $250, no $4.000)</t>
  </si>
  <si>
    <t xml:space="preserve">12 anillados plásticos (exento, supera el mínimo)</t>
  </si>
  <si>
    <t xml:space="preserve">1 talonario x10 (NO exento, ya supera el mínimo)</t>
  </si>
  <si>
    <t xml:space="preserve">50 impresiones b/n A4 doble faz (tramo 11-100)</t>
  </si>
  <si>
    <t xml:space="preserve">200 impresiones b/n A4 doble faz (tramo 101-500)</t>
  </si>
  <si>
    <t xml:space="preserve">1500 impresiones b/n A4 doble faz (tramo 1001+)</t>
  </si>
  <si>
    <t xml:space="preserve">1 plastificado A4</t>
  </si>
  <si>
    <t xml:space="preserve">1 plastificado de carnet 9x13</t>
  </si>
  <si>
    <t xml:space="preserve">1 plastificado cocodrilo (el más barato)</t>
  </si>
  <si>
    <t xml:space="preserve">10 plastificados A3</t>
  </si>
  <si>
    <t xml:space="preserve">Piezas por paquete</t>
  </si>
  <si>
    <t xml:space="preserve">4</t>
  </si>
  <si>
    <t xml:space="preserve">Vinilo microperforado</t>
  </si>
  <si>
    <t xml:space="preserve">0,5</t>
  </si>
  <si>
    <t xml:space="preserve">PVC espumado 3 mm con vinilo</t>
  </si>
  <si>
    <t xml:space="preserve">Impresión de planos lineal</t>
  </si>
  <si>
    <t xml:space="preserve">Escaneo de planos</t>
  </si>
  <si>
    <t xml:space="preserve">metro lineal</t>
  </si>
  <si>
    <t xml:space="preserve">Plancha A4 de stickers</t>
  </si>
  <si>
    <t xml:space="preserve">Lona 1,9x0,9 m con porta banner 2 velas</t>
  </si>
  <si>
    <t xml:space="preserve">Lona 2x0,85 m con porta banner roll up</t>
  </si>
  <si>
    <t xml:space="preserve">Vinilo microperforado para vidriera 1x1 m</t>
  </si>
  <si>
    <t xml:space="preserve">Vinilo microperforado para vidrieras: desde adentro se ve hacia afuera, desde afuera se ve la impresión. Se cotiza por metro cuadrado, mínimo medio m2.</t>
  </si>
  <si>
    <t xml:space="preserve">100</t>
  </si>
  <si>
    <t xml:space="preserve">microperforado, vinilo para vidriera, vinilo que se ve de adentro</t>
  </si>
  <si>
    <t xml:space="preserve">Cartel en PVC espumado 3 mm 50x70 cm</t>
  </si>
  <si>
    <t xml:space="preserve">Cartel en PVC espumado de 3 mm con vinilo brillo o mate. Más firme y durable que el plástico corrugado, que es la alternativa más económica. Se cotiza por metro cuadrado, mínimo medio m2.</t>
  </si>
  <si>
    <t xml:space="preserve">50</t>
  </si>
  <si>
    <t xml:space="preserve">70</t>
  </si>
  <si>
    <t xml:space="preserve">pvc, pvc espumado, cartel rigido, sintra, letrero</t>
  </si>
  <si>
    <t xml:space="preserve">Impresión de planos A1</t>
  </si>
  <si>
    <t xml:space="preserve">Impresión de planos en papel obra 90 g, línea sobre fondo blanco. Se cotiza por metro cuadrado, mínimo medio m2. Si el plano lleva zonas con color o relleno, escribinos: el recargo depende de cuánta superficie cubre y lo tiene que ver alguien del taller.</t>
  </si>
  <si>
    <t xml:space="preserve">59.4</t>
  </si>
  <si>
    <t xml:space="preserve">84.1</t>
  </si>
  <si>
    <t xml:space="preserve">planos, planos de obra, autocad, plotteo, ploteo de planos, plotter</t>
  </si>
  <si>
    <t xml:space="preserve">Diseño y servicios</t>
  </si>
  <si>
    <t xml:space="preserve">Escaneo y digitalización de planos en gran formato. Se cobra por metro lineal escaneado: 3 metros son $24.000. También escaneamos A3.</t>
  </si>
  <si>
    <t xml:space="preserve">escanear, escaneo, digitalizar, escaneo de planos, pasar a digital</t>
  </si>
  <si>
    <t xml:space="preserve">Hoja A4 de stickers en papel autoadhesivo, con medio corte para despegarlos de a uno. Incluye la impresión y el corte. El precio baja bastante desde 2 planchas.</t>
  </si>
  <si>
    <t xml:space="preserve">plancha de stickers, hoja de stickers, stickers en plancha, calcos en hoja</t>
  </si>
  <si>
    <t xml:space="preserve">La lona impresa full color con bolsillos, más la estructura tipo araña de 2 velas. Se arma y se guarda en minutos. El precio incluye las dos cosas.</t>
  </si>
  <si>
    <t xml:space="preserve">banner completo, kit de banner, lona con estructura, araña con lona, banner armado</t>
  </si>
  <si>
    <t xml:space="preserve">1,9 x 0,9 m</t>
  </si>
  <si>
    <t xml:space="preserve">La lona impresa full color más el roll up con estuche: la lona se enrolla dentro de la base. No lleva bolsillos. El precio incluye las dos cosas.</t>
  </si>
  <si>
    <t xml:space="preserve">roll up, rollup con lona, banner enrollable, banner completo, kit de banner</t>
  </si>
  <si>
    <t xml:space="preserve">2 x 0,85 m</t>
  </si>
  <si>
    <t xml:space="preserve">1 vinilo microperforado de 1x1 m</t>
  </si>
  <si>
    <t xml:space="preserve">1</t>
  </si>
  <si>
    <t xml:space="preserve">18000</t>
  </si>
  <si>
    <t xml:space="preserve">1 vinilo microperforado de 50x50 cm</t>
  </si>
  <si>
    <t xml:space="preserve">9000</t>
  </si>
  <si>
    <t xml:space="preserve">1 cartel de PVC espumado 50x70 cm</t>
  </si>
  <si>
    <t xml:space="preserve">23000</t>
  </si>
  <si>
    <t xml:space="preserve">1 cartel de PVC espumado de 100x150 cm</t>
  </si>
  <si>
    <t xml:space="preserve">150</t>
  </si>
  <si>
    <t xml:space="preserve">69000</t>
  </si>
  <si>
    <t xml:space="preserve">1 plano A1</t>
  </si>
  <si>
    <t xml:space="preserve">4000</t>
  </si>
  <si>
    <t xml:space="preserve">4 planos A1</t>
  </si>
  <si>
    <t xml:space="preserve">14000</t>
  </si>
  <si>
    <t xml:space="preserve">escaneo de 3 metros de planos</t>
  </si>
  <si>
    <t xml:space="preserve">3</t>
  </si>
  <si>
    <t xml:space="preserve">24000</t>
  </si>
  <si>
    <t xml:space="preserve">escaneo de 1 metro de planos</t>
  </si>
  <si>
    <t xml:space="preserve">8000</t>
  </si>
  <si>
    <t xml:space="preserve">1 plancha A4 de stickers</t>
  </si>
  <si>
    <t xml:space="preserve">10 planchas A4 de stickers</t>
  </si>
  <si>
    <t xml:space="preserve">10</t>
  </si>
  <si>
    <t xml:space="preserve">150 planchas A4 de stickers</t>
  </si>
  <si>
    <t xml:space="preserve">150000</t>
  </si>
  <si>
    <t xml:space="preserve">1 lona 1,9x0,9 con porta banner 2 velas</t>
  </si>
  <si>
    <t xml:space="preserve">61400</t>
  </si>
  <si>
    <t xml:space="preserve">1 lona 2x0,85 con roll up</t>
  </si>
  <si>
    <t xml:space="preserve">65200</t>
  </si>
  <si>
    <t xml:space="preserve">2 lonas 2x0,85 con roll up</t>
  </si>
  <si>
    <t xml:space="preserve">2</t>
  </si>
  <si>
    <t xml:space="preserve">130400</t>
  </si>
  <si>
    <t xml:space="preserve">Servicios sobre archivos, sin impresión: escaneo y digitalización de planos y documentos en gran formato.</t>
  </si>
  <si>
    <t xml:space="preserve">Impresión de gran formato lista para usar: posters, porta banners tipo X y roll-up, y planos. También hay combos que traen la lona impresa junto con su estructura, a precio cerrado.</t>
  </si>
  <si>
    <t xml:space="preserve">100 stickers en OPP brillo sin cortar de 8x8 cm</t>
  </si>
  <si>
    <t xml:space="preserve">100 stickers holográficos sin cortar de 8x8 cm</t>
  </si>
  <si>
    <t xml:space="preserve">1 cartel adhesivo con blanco de 60x80 cm</t>
  </si>
  <si>
    <t xml:space="preserve">100 tarjetas 9x5 simple faz encapsuladas</t>
  </si>
  <si>
    <t xml:space="preserve">100 tarjetas 9x5 doble faz</t>
  </si>
  <si>
    <t xml:space="preserve">100 tarjetas 9x5 doble faz encapsuladas</t>
  </si>
  <si>
    <t xml:space="preserve">100 tarjetas 9x5 en papel kraft simple faz</t>
  </si>
  <si>
    <t xml:space="preserve">100 tarjetas 9x5 en papel kraft doble faz</t>
  </si>
  <si>
    <t xml:space="preserve">500 tarjetas 9x5 simple faz</t>
  </si>
  <si>
    <t xml:space="preserve">500 tarjetas 9x5 simple faz encapsuladas</t>
  </si>
  <si>
    <t xml:space="preserve">500 tarjetas 9x5 doble faz encapsuladas</t>
  </si>
  <si>
    <t xml:space="preserve">1000 tarjetas 9x5 simple faz</t>
  </si>
  <si>
    <t xml:space="preserve">1000 tarjetas 9x5 doble faz</t>
  </si>
  <si>
    <t xml:space="preserve">1000 tarjetas 9x5 doble faz encapsuladas</t>
  </si>
  <si>
    <t xml:space="preserve">100 sobres impresos con el logo</t>
  </si>
  <si>
    <t xml:space="preserve">500 perforados</t>
  </si>
  <si>
    <t xml:space="preserve">5 recetarios en negro</t>
  </si>
  <si>
    <t xml:space="preserve">5 recetarios en color</t>
  </si>
  <si>
    <t xml:space="preserve">50 impresiones color A4 doble faz</t>
  </si>
  <si>
    <t xml:space="preserve">10 impresiones color A3</t>
  </si>
  <si>
    <t xml:space="preserve">5 impresiones blanco y negro A3</t>
  </si>
  <si>
    <t xml:space="preserve">20 impresiones en papel ilustración</t>
  </si>
  <si>
    <t xml:space="preserve">15 impresiones en opalina</t>
  </si>
  <si>
    <t xml:space="preserve">5 anillados metálicos wire-o</t>
  </si>
  <si>
    <t xml:space="preserve">10 encuadernaciones abrochadas</t>
  </si>
  <si>
    <t xml:space="preserve">3 encuadernaciones fresadas</t>
  </si>
  <si>
    <t xml:space="preserve">1 plastificado oficio</t>
  </si>
  <si>
    <t xml:space="preserve">20 troquelados y corte a medida sobre unas cajitas ya impresas</t>
  </si>
  <si>
    <t xml:space="preserve">20 numerados correlativos en unas entradas</t>
  </si>
  <si>
    <t xml:space="preserve">1 libro de medicina, el de Guyton</t>
  </si>
  <si>
    <t xml:space="preserve">el pack de los 4 libros de medicina</t>
  </si>
  <si>
    <t xml:space="preserve">5 anotadores personalizados en negro</t>
  </si>
  <si>
    <t xml:space="preserve">2 posters A3</t>
  </si>
  <si>
    <t xml:space="preserve">1 porta banner tipo X</t>
  </si>
  <si>
    <t xml:space="preserve">1 cartel de seguridad e higiene A3</t>
  </si>
  <si>
    <t xml:space="preserve">4 cartas plastificadas A4 para el menú</t>
  </si>
  <si>
    <t xml:space="preserve">1 cartel de precios A3 con plastificado</t>
  </si>
  <si>
    <t xml:space="preserve">Escaneo y digitalización de planos en gran formato. Se cobra por metro lineal escaneado. También escaneamos A3.</t>
  </si>
  <si>
    <t xml:space="preserve">escaneo de 2,45 metros de planos (medida con decimales)</t>
  </si>
  <si>
    <t xml:space="preserve">escaneo de 0,5 metros de planos (activa el mínimo por trabajo)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</si>
</sst>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  <row r="6">
      <c r="A6" s="6" t="s">
        <v>277</v>
      </c>
      <c r="B6" s="7" t="s">
        <v>278</v>
      </c>
      <c r="C6" s="6" t="s">
        <v>279</v>
      </c>
    </row>
    <row r="7">
      <c r="A7" s="6" t="s">
        <v>280</v>
      </c>
      <c r="B7" s="7" t="s">
        <v>281</v>
      </c>
    </row>
    <row r="8">
      <c r="A8" s="6" t="s">
        <v>282</v>
      </c>
      <c r="B8" s="7" t="s">
        <v>283</v>
      </c>
      <c r="D8" t="s">
        <v>284</v>
      </c>
    </row>
    <row r="9">
      <c r="A9" s="6" t="s">
        <v>285</v>
      </c>
      <c r="B9" s="7" t="s">
        <v>286</v>
      </c>
      <c r="D9" t="s">
        <v>284</v>
      </c>
    </row>
    <row r="10">
      <c r="A10" s="6" t="s">
        <v>287</v>
      </c>
      <c r="B10" s="7" t="s">
        <v>288</v>
      </c>
    </row>
    <row r="11">
      <c r="A11" s="6" t="s">
        <v>289</v>
      </c>
      <c r="B11" s="5" t="s">
        <v>612</v>
      </c>
    </row>
    <row r="12">
      <c r="A12" s="6" t="s">
        <v>291</v>
      </c>
      <c r="B12" s="7" t="s">
        <v>292</v>
      </c>
    </row>
    <row r="13">
      <c r="A13" s="6" t="s">
        <v>293</v>
      </c>
      <c r="B13" s="7" t="s">
        <v>294</v>
      </c>
    </row>
    <row r="14">
      <c r="A14" s="6" t="s">
        <v>569</v>
      </c>
      <c r="B14" s="5" t="s">
        <v>611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274</v>
      </c>
      <c r="I1" s="5" t="s">
        <v>275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  <row r="33">
      <c r="A33" s="8" t="s">
        <v>93</v>
      </c>
      <c r="B33" s="6" t="s">
        <v>367</v>
      </c>
      <c r="C33" s="7" t="s">
        <v>368</v>
      </c>
      <c r="D33" s="8" t="s">
        <v>167</v>
      </c>
      <c r="E33" s="9" t="n">
        <v>5</v>
      </c>
      <c r="F33" s="9" t="n">
        <v>5</v>
      </c>
      <c r="H33" t="s">
        <v>369</v>
      </c>
    </row>
    <row r="34">
      <c r="A34" s="8" t="s">
        <v>93</v>
      </c>
      <c r="B34" s="6" t="s">
        <v>370</v>
      </c>
      <c r="C34" s="7" t="s">
        <v>371</v>
      </c>
      <c r="D34" s="8" t="s">
        <v>168</v>
      </c>
      <c r="E34" s="9" t="n">
        <v>5</v>
      </c>
      <c r="F34" s="9" t="n">
        <v>5</v>
      </c>
    </row>
    <row r="35">
      <c r="A35" s="8" t="s">
        <v>93</v>
      </c>
      <c r="B35" s="6" t="s">
        <v>372</v>
      </c>
      <c r="C35" s="7" t="s">
        <v>373</v>
      </c>
      <c r="D35" s="8" t="s">
        <v>169</v>
      </c>
      <c r="E35" s="9" t="n">
        <v>5</v>
      </c>
      <c r="F35" s="9" t="n">
        <v>5</v>
      </c>
    </row>
    <row r="36">
      <c r="A36" s="8" t="s">
        <v>97</v>
      </c>
      <c r="B36" s="6" t="s">
        <v>374</v>
      </c>
      <c r="C36" s="7" t="s">
        <v>375</v>
      </c>
      <c r="D36" s="8" t="s">
        <v>171</v>
      </c>
      <c r="E36" s="9" t="n">
        <v>50</v>
      </c>
      <c r="F36" s="9" t="n">
        <v>70</v>
      </c>
      <c r="H36" t="s">
        <v>376</v>
      </c>
    </row>
    <row r="37">
      <c r="A37" s="8" t="s">
        <v>277</v>
      </c>
      <c r="B37" s="6" t="s">
        <v>377</v>
      </c>
      <c r="C37" s="7" t="s">
        <v>378</v>
      </c>
      <c r="D37" s="8" t="s">
        <v>279</v>
      </c>
      <c r="E37" s="9" t="n">
        <v>9</v>
      </c>
      <c r="F37" s="9" t="n">
        <v>5</v>
      </c>
      <c r="H37" t="s">
        <v>379</v>
      </c>
    </row>
    <row r="38">
      <c r="A38" s="8" t="s">
        <v>277</v>
      </c>
      <c r="B38" s="6" t="s">
        <v>380</v>
      </c>
      <c r="C38" s="7" t="s">
        <v>381</v>
      </c>
      <c r="D38" s="8" t="s">
        <v>297</v>
      </c>
      <c r="E38" s="9" t="n">
        <v>9</v>
      </c>
      <c r="F38" s="9" t="n">
        <v>5</v>
      </c>
    </row>
    <row r="39">
      <c r="A39" s="8" t="s">
        <v>277</v>
      </c>
      <c r="B39" s="6" t="s">
        <v>382</v>
      </c>
      <c r="C39" s="7" t="s">
        <v>383</v>
      </c>
      <c r="D39" s="8" t="s">
        <v>299</v>
      </c>
      <c r="E39" s="9" t="n">
        <v>9</v>
      </c>
      <c r="F39" s="9" t="n">
        <v>5</v>
      </c>
    </row>
    <row r="40">
      <c r="A40" s="8" t="s">
        <v>277</v>
      </c>
      <c r="B40" s="6" t="s">
        <v>384</v>
      </c>
      <c r="C40" s="7" t="s">
        <v>385</v>
      </c>
      <c r="D40" s="8" t="s">
        <v>301</v>
      </c>
      <c r="E40" s="9" t="n">
        <v>9</v>
      </c>
      <c r="F40" s="9" t="n">
        <v>5</v>
      </c>
    </row>
    <row r="41">
      <c r="A41" s="8" t="s">
        <v>277</v>
      </c>
      <c r="B41" s="6" t="s">
        <v>386</v>
      </c>
      <c r="C41" s="7" t="s">
        <v>387</v>
      </c>
      <c r="D41" s="8" t="s">
        <v>303</v>
      </c>
      <c r="E41" s="9" t="n">
        <v>9</v>
      </c>
      <c r="F41" s="9" t="n">
        <v>5</v>
      </c>
    </row>
    <row r="42">
      <c r="A42" s="8" t="s">
        <v>277</v>
      </c>
      <c r="B42" s="6" t="s">
        <v>388</v>
      </c>
      <c r="C42" s="7" t="s">
        <v>389</v>
      </c>
      <c r="D42" s="8" t="s">
        <v>305</v>
      </c>
      <c r="E42" s="9" t="n">
        <v>9</v>
      </c>
      <c r="F42" s="9" t="n">
        <v>5</v>
      </c>
    </row>
    <row r="43">
      <c r="A43" s="8" t="s">
        <v>277</v>
      </c>
      <c r="B43" s="6" t="s">
        <v>390</v>
      </c>
      <c r="C43" s="7" t="s">
        <v>391</v>
      </c>
      <c r="D43" s="8" t="s">
        <v>307</v>
      </c>
      <c r="E43" s="9" t="n">
        <v>9</v>
      </c>
      <c r="F43" s="9" t="n">
        <v>5</v>
      </c>
    </row>
    <row r="44">
      <c r="A44" s="8" t="s">
        <v>277</v>
      </c>
      <c r="B44" s="6" t="s">
        <v>392</v>
      </c>
      <c r="C44" s="7" t="s">
        <v>393</v>
      </c>
      <c r="D44" s="8" t="s">
        <v>309</v>
      </c>
      <c r="E44" s="9" t="n">
        <v>9</v>
      </c>
      <c r="F44" s="9" t="n">
        <v>5</v>
      </c>
    </row>
    <row r="45">
      <c r="A45" s="8" t="s">
        <v>277</v>
      </c>
      <c r="B45" s="6" t="s">
        <v>394</v>
      </c>
      <c r="C45" s="7" t="s">
        <v>395</v>
      </c>
      <c r="D45" s="8" t="s">
        <v>310</v>
      </c>
      <c r="E45" s="9" t="n">
        <v>9</v>
      </c>
      <c r="F45" s="9" t="n">
        <v>5</v>
      </c>
    </row>
    <row r="46">
      <c r="A46" s="8" t="s">
        <v>277</v>
      </c>
      <c r="B46" s="6" t="s">
        <v>396</v>
      </c>
      <c r="C46" s="7" t="s">
        <v>397</v>
      </c>
      <c r="D46" s="8" t="s">
        <v>311</v>
      </c>
      <c r="E46" s="9" t="n">
        <v>9</v>
      </c>
      <c r="F46" s="9" t="n">
        <v>5</v>
      </c>
    </row>
    <row r="47">
      <c r="A47" s="8" t="s">
        <v>277</v>
      </c>
      <c r="B47" s="6" t="s">
        <v>398</v>
      </c>
      <c r="C47" s="7" t="s">
        <v>399</v>
      </c>
      <c r="D47" s="8" t="s">
        <v>312</v>
      </c>
      <c r="E47" s="9" t="n">
        <v>9</v>
      </c>
      <c r="F47" s="9" t="n">
        <v>5</v>
      </c>
    </row>
    <row r="48">
      <c r="A48" s="8" t="s">
        <v>277</v>
      </c>
      <c r="B48" s="6" t="s">
        <v>400</v>
      </c>
      <c r="C48" s="7" t="s">
        <v>401</v>
      </c>
      <c r="D48" s="8" t="s">
        <v>314</v>
      </c>
      <c r="E48" s="9" t="n">
        <v>9</v>
      </c>
      <c r="F48" s="9" t="n">
        <v>5</v>
      </c>
    </row>
    <row r="49">
      <c r="A49" s="8" t="s">
        <v>277</v>
      </c>
      <c r="B49" s="6" t="s">
        <v>402</v>
      </c>
      <c r="C49" s="7" t="s">
        <v>403</v>
      </c>
      <c r="D49" s="8" t="s">
        <v>315</v>
      </c>
      <c r="E49" s="9" t="n">
        <v>9</v>
      </c>
      <c r="F49" s="9" t="n">
        <v>5</v>
      </c>
    </row>
    <row r="50">
      <c r="A50" s="8" t="s">
        <v>277</v>
      </c>
      <c r="B50" s="6" t="s">
        <v>404</v>
      </c>
      <c r="C50" s="7" t="s">
        <v>405</v>
      </c>
      <c r="D50" s="8" t="s">
        <v>316</v>
      </c>
      <c r="E50" s="9" t="n">
        <v>9</v>
      </c>
      <c r="F50" s="9" t="n">
        <v>5</v>
      </c>
    </row>
    <row r="51">
      <c r="A51" s="8" t="s">
        <v>280</v>
      </c>
      <c r="B51" s="6" t="s">
        <v>406</v>
      </c>
      <c r="C51" s="7" t="s">
        <v>407</v>
      </c>
      <c r="D51" s="8" t="s">
        <v>317</v>
      </c>
      <c r="H51" t="s">
        <v>408</v>
      </c>
      <c r="I51" t="s">
        <v>409</v>
      </c>
    </row>
    <row r="52">
      <c r="A52" s="8" t="s">
        <v>280</v>
      </c>
      <c r="B52" s="6" t="s">
        <v>410</v>
      </c>
      <c r="C52" s="7" t="s">
        <v>411</v>
      </c>
      <c r="D52" s="8" t="s">
        <v>319</v>
      </c>
      <c r="E52" s="9" t="n">
        <v>21</v>
      </c>
      <c r="F52" s="9" t="n">
        <v>11</v>
      </c>
      <c r="H52" t="s">
        <v>412</v>
      </c>
    </row>
    <row r="53">
      <c r="A53" s="8" t="s">
        <v>280</v>
      </c>
      <c r="B53" s="6" t="s">
        <v>413</v>
      </c>
      <c r="C53" s="7" t="s">
        <v>414</v>
      </c>
      <c r="D53" s="8" t="s">
        <v>321</v>
      </c>
      <c r="H53" t="s">
        <v>415</v>
      </c>
      <c r="I53" t="s">
        <v>416</v>
      </c>
    </row>
    <row r="54">
      <c r="A54" s="8" t="s">
        <v>280</v>
      </c>
      <c r="B54" s="6" t="s">
        <v>323</v>
      </c>
      <c r="C54" s="7" t="s">
        <v>417</v>
      </c>
      <c r="D54" s="8" t="s">
        <v>323</v>
      </c>
      <c r="E54" s="9" t="n">
        <v>23.5</v>
      </c>
      <c r="F54" s="9" t="n">
        <v>12</v>
      </c>
      <c r="H54" t="s">
        <v>418</v>
      </c>
    </row>
    <row r="55">
      <c r="A55" s="8" t="s">
        <v>280</v>
      </c>
      <c r="B55" s="6" t="s">
        <v>419</v>
      </c>
      <c r="C55" s="7" t="s">
        <v>420</v>
      </c>
      <c r="D55" s="8" t="s">
        <v>325</v>
      </c>
      <c r="H55" t="s">
        <v>421</v>
      </c>
      <c r="I55" t="s">
        <v>422</v>
      </c>
    </row>
    <row r="56">
      <c r="A56" s="8" t="s">
        <v>280</v>
      </c>
      <c r="B56" s="6" t="s">
        <v>326</v>
      </c>
      <c r="C56" s="7" t="s">
        <v>423</v>
      </c>
      <c r="D56" s="8" t="s">
        <v>326</v>
      </c>
      <c r="I56" t="s">
        <v>422</v>
      </c>
    </row>
    <row r="57">
      <c r="A57" s="8" t="s">
        <v>280</v>
      </c>
      <c r="B57" s="6" t="s">
        <v>327</v>
      </c>
      <c r="C57" s="7" t="s">
        <v>424</v>
      </c>
      <c r="D57" s="8" t="s">
        <v>327</v>
      </c>
      <c r="H57" t="s">
        <v>425</v>
      </c>
      <c r="I57" t="s">
        <v>426</v>
      </c>
    </row>
    <row r="58">
      <c r="A58" s="8" t="s">
        <v>280</v>
      </c>
      <c r="B58" s="6" t="s">
        <v>328</v>
      </c>
      <c r="C58" s="7" t="s">
        <v>427</v>
      </c>
      <c r="D58" s="8" t="s">
        <v>328</v>
      </c>
      <c r="I58" t="s">
        <v>426</v>
      </c>
    </row>
    <row r="59">
      <c r="A59" s="8" t="s">
        <v>282</v>
      </c>
      <c r="B59" s="6" t="s">
        <v>428</v>
      </c>
      <c r="C59" s="7" t="s">
        <v>429</v>
      </c>
      <c r="D59" s="8" t="s">
        <v>329</v>
      </c>
      <c r="H59" t="s">
        <v>430</v>
      </c>
      <c r="I59" t="s">
        <v>409</v>
      </c>
    </row>
    <row r="60">
      <c r="A60" s="8" t="s">
        <v>282</v>
      </c>
      <c r="B60" s="6" t="s">
        <v>331</v>
      </c>
      <c r="C60" s="7" t="s">
        <v>431</v>
      </c>
      <c r="D60" s="8" t="s">
        <v>331</v>
      </c>
      <c r="I60" t="s">
        <v>409</v>
      </c>
    </row>
    <row r="61">
      <c r="A61" s="8" t="s">
        <v>282</v>
      </c>
      <c r="B61" s="6" t="s">
        <v>432</v>
      </c>
      <c r="C61" s="7" t="s">
        <v>433</v>
      </c>
      <c r="D61" s="8" t="s">
        <v>332</v>
      </c>
      <c r="H61" t="s">
        <v>434</v>
      </c>
      <c r="I61" t="s">
        <v>409</v>
      </c>
    </row>
    <row r="62">
      <c r="A62" s="8" t="s">
        <v>282</v>
      </c>
      <c r="B62" s="6" t="s">
        <v>333</v>
      </c>
      <c r="C62" s="7" t="s">
        <v>435</v>
      </c>
      <c r="D62" s="8" t="s">
        <v>333</v>
      </c>
      <c r="I62" t="s">
        <v>409</v>
      </c>
    </row>
    <row r="63">
      <c r="A63" s="8" t="s">
        <v>282</v>
      </c>
      <c r="B63" s="6" t="s">
        <v>334</v>
      </c>
      <c r="C63" s="7" t="s">
        <v>436</v>
      </c>
      <c r="D63" s="8" t="s">
        <v>334</v>
      </c>
      <c r="I63" t="s">
        <v>437</v>
      </c>
    </row>
    <row r="64">
      <c r="A64" s="8" t="s">
        <v>282</v>
      </c>
      <c r="B64" s="6" t="s">
        <v>335</v>
      </c>
      <c r="C64" s="7" t="s">
        <v>438</v>
      </c>
      <c r="D64" s="8" t="s">
        <v>335</v>
      </c>
      <c r="I64" t="s">
        <v>437</v>
      </c>
    </row>
    <row r="65">
      <c r="A65" s="8" t="s">
        <v>282</v>
      </c>
      <c r="B65" s="6" t="s">
        <v>336</v>
      </c>
      <c r="C65" s="7" t="s">
        <v>439</v>
      </c>
      <c r="D65" s="8" t="s">
        <v>336</v>
      </c>
      <c r="I65" t="s">
        <v>409</v>
      </c>
    </row>
    <row r="66">
      <c r="A66" s="8" t="s">
        <v>282</v>
      </c>
      <c r="B66" s="6" t="s">
        <v>337</v>
      </c>
      <c r="C66" s="7" t="s">
        <v>440</v>
      </c>
      <c r="D66" s="8" t="s">
        <v>337</v>
      </c>
      <c r="I66" t="s">
        <v>409</v>
      </c>
    </row>
    <row r="67">
      <c r="A67" s="8" t="s">
        <v>285</v>
      </c>
      <c r="B67" s="6" t="s">
        <v>338</v>
      </c>
      <c r="C67" s="7" t="s">
        <v>441</v>
      </c>
      <c r="D67" s="8" t="s">
        <v>338</v>
      </c>
      <c r="H67" t="s">
        <v>442</v>
      </c>
      <c r="I67" t="s">
        <v>443</v>
      </c>
    </row>
    <row r="68">
      <c r="A68" s="8" t="s">
        <v>285</v>
      </c>
      <c r="B68" s="6" t="s">
        <v>339</v>
      </c>
      <c r="C68" s="7" t="s">
        <v>444</v>
      </c>
      <c r="D68" s="8" t="s">
        <v>339</v>
      </c>
      <c r="I68" t="s">
        <v>445</v>
      </c>
    </row>
    <row r="69">
      <c r="A69" s="8" t="s">
        <v>285</v>
      </c>
      <c r="B69" s="6" t="s">
        <v>446</v>
      </c>
      <c r="C69" s="7" t="s">
        <v>447</v>
      </c>
      <c r="D69" s="8" t="s">
        <v>340</v>
      </c>
      <c r="I69" t="s">
        <v>409</v>
      </c>
    </row>
    <row r="70">
      <c r="A70" s="8" t="s">
        <v>285</v>
      </c>
      <c r="B70" s="6" t="s">
        <v>341</v>
      </c>
      <c r="C70" s="7" t="s">
        <v>448</v>
      </c>
      <c r="D70" s="8" t="s">
        <v>341</v>
      </c>
      <c r="H70" t="s">
        <v>449</v>
      </c>
      <c r="I70" t="s">
        <v>409</v>
      </c>
    </row>
    <row r="71">
      <c r="A71" s="8" t="s">
        <v>285</v>
      </c>
      <c r="B71" s="6" t="s">
        <v>450</v>
      </c>
      <c r="C71" s="7" t="s">
        <v>451</v>
      </c>
      <c r="D71" s="8" t="s">
        <v>342</v>
      </c>
      <c r="H71" t="s">
        <v>452</v>
      </c>
      <c r="I71" t="s">
        <v>409</v>
      </c>
    </row>
    <row r="72">
      <c r="A72" s="8" t="s">
        <v>285</v>
      </c>
      <c r="B72" s="6" t="s">
        <v>453</v>
      </c>
      <c r="C72" s="7" t="s">
        <v>454</v>
      </c>
      <c r="D72" s="8" t="s">
        <v>343</v>
      </c>
      <c r="H72" t="s">
        <v>455</v>
      </c>
      <c r="I72" t="s">
        <v>409</v>
      </c>
    </row>
    <row r="73">
      <c r="A73" s="8" t="s">
        <v>285</v>
      </c>
      <c r="B73" s="6" t="s">
        <v>456</v>
      </c>
      <c r="C73" s="7" t="s">
        <v>457</v>
      </c>
      <c r="D73" s="8" t="s">
        <v>345</v>
      </c>
      <c r="I73" t="s">
        <v>458</v>
      </c>
    </row>
    <row r="74">
      <c r="A74" s="8" t="s">
        <v>285</v>
      </c>
      <c r="B74" s="6" t="s">
        <v>459</v>
      </c>
      <c r="C74" s="7" t="s">
        <v>460</v>
      </c>
      <c r="D74" s="8" t="s">
        <v>346</v>
      </c>
      <c r="I74" t="s">
        <v>437</v>
      </c>
    </row>
    <row r="75">
      <c r="A75" s="8" t="s">
        <v>285</v>
      </c>
      <c r="B75" s="6" t="s">
        <v>461</v>
      </c>
      <c r="C75" s="7" t="s">
        <v>462</v>
      </c>
      <c r="D75" s="8" t="s">
        <v>347</v>
      </c>
      <c r="H75" t="s">
        <v>463</v>
      </c>
      <c r="I75" t="s">
        <v>464</v>
      </c>
    </row>
    <row r="76">
      <c r="A76" s="8" t="s">
        <v>285</v>
      </c>
      <c r="B76" s="6" t="s">
        <v>348</v>
      </c>
      <c r="C76" s="7" t="s">
        <v>465</v>
      </c>
      <c r="D76" s="8" t="s">
        <v>348</v>
      </c>
      <c r="H76" t="s">
        <v>466</v>
      </c>
    </row>
    <row r="77">
      <c r="A77" s="8" t="s">
        <v>285</v>
      </c>
      <c r="B77" s="6" t="s">
        <v>349</v>
      </c>
      <c r="C77" s="7" t="s">
        <v>467</v>
      </c>
      <c r="D77" s="8" t="s">
        <v>349</v>
      </c>
      <c r="H77" t="s">
        <v>468</v>
      </c>
    </row>
    <row r="78">
      <c r="A78" s="8" t="s">
        <v>285</v>
      </c>
      <c r="B78" s="6" t="s">
        <v>350</v>
      </c>
      <c r="C78" s="7" t="s">
        <v>469</v>
      </c>
      <c r="D78" s="8" t="s">
        <v>350</v>
      </c>
      <c r="H78" t="s">
        <v>470</v>
      </c>
    </row>
    <row r="79">
      <c r="A79" s="8" t="s">
        <v>285</v>
      </c>
      <c r="B79" s="6" t="s">
        <v>351</v>
      </c>
      <c r="C79" s="7" t="s">
        <v>471</v>
      </c>
      <c r="D79" s="8" t="s">
        <v>351</v>
      </c>
      <c r="H79" t="s">
        <v>472</v>
      </c>
    </row>
    <row r="80">
      <c r="A80" s="8" t="s">
        <v>285</v>
      </c>
      <c r="B80" s="6" t="s">
        <v>473</v>
      </c>
      <c r="C80" s="7" t="s">
        <v>474</v>
      </c>
      <c r="D80" s="8" t="s">
        <v>352</v>
      </c>
      <c r="H80" t="s">
        <v>475</v>
      </c>
    </row>
    <row r="81">
      <c r="A81" s="8" t="s">
        <v>287</v>
      </c>
      <c r="B81" s="6" t="s">
        <v>476</v>
      </c>
      <c r="C81" s="7" t="s">
        <v>477</v>
      </c>
      <c r="D81" s="8" t="s">
        <v>354</v>
      </c>
      <c r="H81" t="s">
        <v>478</v>
      </c>
      <c r="I81" t="s">
        <v>479</v>
      </c>
    </row>
    <row r="82">
      <c r="A82" s="8" t="s">
        <v>287</v>
      </c>
      <c r="B82" s="6" t="s">
        <v>356</v>
      </c>
      <c r="C82" s="7" t="s">
        <v>480</v>
      </c>
      <c r="D82" s="8" t="s">
        <v>356</v>
      </c>
      <c r="H82" t="s">
        <v>481</v>
      </c>
    </row>
    <row r="83">
      <c r="A83" s="8" t="s">
        <v>287</v>
      </c>
      <c r="B83" s="6" t="s">
        <v>357</v>
      </c>
      <c r="C83" s="7" t="s">
        <v>482</v>
      </c>
      <c r="D83" s="8" t="s">
        <v>357</v>
      </c>
      <c r="H83" t="s">
        <v>483</v>
      </c>
    </row>
    <row r="84">
      <c r="A84" s="8" t="s">
        <v>287</v>
      </c>
      <c r="B84" s="6" t="s">
        <v>484</v>
      </c>
      <c r="C84" s="7" t="s">
        <v>485</v>
      </c>
      <c r="D84" s="8" t="s">
        <v>359</v>
      </c>
      <c r="H84" t="s">
        <v>486</v>
      </c>
      <c r="I84" t="s">
        <v>487</v>
      </c>
    </row>
    <row r="85">
      <c r="A85" s="8" t="s">
        <v>287</v>
      </c>
      <c r="B85" s="6" t="s">
        <v>360</v>
      </c>
      <c r="C85" s="7" t="s">
        <v>488</v>
      </c>
      <c r="D85" s="8" t="s">
        <v>360</v>
      </c>
      <c r="I85" t="s">
        <v>487</v>
      </c>
    </row>
    <row r="86">
      <c r="A86" s="8" t="s">
        <v>289</v>
      </c>
      <c r="B86" s="6" t="s">
        <v>361</v>
      </c>
      <c r="C86" s="7" t="s">
        <v>489</v>
      </c>
      <c r="D86" s="8" t="s">
        <v>361</v>
      </c>
      <c r="H86" t="s">
        <v>490</v>
      </c>
      <c r="I86" t="s">
        <v>491</v>
      </c>
    </row>
    <row r="87">
      <c r="A87" s="8" t="s">
        <v>289</v>
      </c>
      <c r="B87" s="6" t="s">
        <v>492</v>
      </c>
      <c r="C87" s="7" t="s">
        <v>493</v>
      </c>
      <c r="D87" s="8" t="s">
        <v>362</v>
      </c>
      <c r="E87" s="9" t="n">
        <v>85</v>
      </c>
      <c r="F87" s="9" t="n">
        <v>200</v>
      </c>
      <c r="H87" t="s">
        <v>494</v>
      </c>
    </row>
    <row r="88">
      <c r="A88" s="8" t="s">
        <v>289</v>
      </c>
      <c r="B88" s="6" t="s">
        <v>495</v>
      </c>
      <c r="C88" s="7" t="s">
        <v>496</v>
      </c>
      <c r="D88" s="8" t="s">
        <v>363</v>
      </c>
      <c r="E88" s="9" t="n">
        <v>90</v>
      </c>
      <c r="F88" s="9" t="n">
        <v>190</v>
      </c>
      <c r="H88" t="s">
        <v>497</v>
      </c>
    </row>
    <row r="89">
      <c r="A89" s="8" t="s">
        <v>291</v>
      </c>
      <c r="B89" s="6" t="s">
        <v>498</v>
      </c>
      <c r="C89" s="7" t="s">
        <v>499</v>
      </c>
      <c r="D89" s="8" t="s">
        <v>364</v>
      </c>
      <c r="H89" t="s">
        <v>500</v>
      </c>
      <c r="I89" t="s">
        <v>437</v>
      </c>
    </row>
    <row r="90">
      <c r="A90" s="8" t="s">
        <v>291</v>
      </c>
      <c r="B90" s="6" t="s">
        <v>501</v>
      </c>
      <c r="C90" s="7" t="s">
        <v>502</v>
      </c>
      <c r="D90" s="8" t="s">
        <v>364</v>
      </c>
      <c r="H90" t="s">
        <v>503</v>
      </c>
      <c r="I90" t="s">
        <v>437</v>
      </c>
    </row>
    <row r="91">
      <c r="A91" s="8" t="s">
        <v>291</v>
      </c>
      <c r="B91" s="6" t="s">
        <v>504</v>
      </c>
      <c r="C91" s="7" t="s">
        <v>505</v>
      </c>
      <c r="D91" s="8" t="s">
        <v>365</v>
      </c>
      <c r="H91" t="s">
        <v>506</v>
      </c>
      <c r="I91" t="s">
        <v>409</v>
      </c>
    </row>
    <row r="92">
      <c r="A92" s="8" t="s">
        <v>291</v>
      </c>
      <c r="B92" s="6" t="s">
        <v>507</v>
      </c>
      <c r="C92" s="7" t="s">
        <v>508</v>
      </c>
      <c r="D92" s="8" t="s">
        <v>366</v>
      </c>
      <c r="H92" t="s">
        <v>509</v>
      </c>
      <c r="I92" t="s">
        <v>437</v>
      </c>
    </row>
    <row r="93">
      <c r="A93" s="8" t="s">
        <v>293</v>
      </c>
      <c r="B93" s="6" t="s">
        <v>510</v>
      </c>
      <c r="C93" s="7" t="s">
        <v>511</v>
      </c>
      <c r="D93" s="8" t="s">
        <v>279</v>
      </c>
      <c r="E93" s="9" t="n">
        <v>9</v>
      </c>
      <c r="F93" s="9" t="n">
        <v>5</v>
      </c>
      <c r="H93" t="s">
        <v>512</v>
      </c>
    </row>
    <row r="94">
      <c r="A94" s="8" t="s">
        <v>97</v>
      </c>
      <c r="B94" s="6" t="s">
        <v>555</v>
      </c>
      <c r="C94" s="7" t="s">
        <v>556</v>
      </c>
      <c r="D94" s="8" t="s">
        <v>546</v>
      </c>
      <c r="E94" s="9" t="s">
        <v>557</v>
      </c>
      <c r="F94" s="9" t="s">
        <v>557</v>
      </c>
      <c r="H94" t="s">
        <v>558</v>
      </c>
    </row>
    <row r="95">
      <c r="A95" s="8" t="s">
        <v>97</v>
      </c>
      <c r="B95" s="6" t="s">
        <v>559</v>
      </c>
      <c r="C95" s="7" t="s">
        <v>560</v>
      </c>
      <c r="D95" s="8" t="s">
        <v>548</v>
      </c>
      <c r="E95" s="9" t="s">
        <v>561</v>
      </c>
      <c r="F95" s="9" t="s">
        <v>562</v>
      </c>
      <c r="H95" t="s">
        <v>563</v>
      </c>
    </row>
    <row r="96">
      <c r="A96" s="8" t="s">
        <v>289</v>
      </c>
      <c r="B96" s="6" t="s">
        <v>564</v>
      </c>
      <c r="C96" s="7" t="s">
        <v>565</v>
      </c>
      <c r="D96" s="8" t="s">
        <v>549</v>
      </c>
      <c r="E96" s="9" t="s">
        <v>566</v>
      </c>
      <c r="F96" s="9" t="s">
        <v>567</v>
      </c>
      <c r="H96" t="s">
        <v>568</v>
      </c>
    </row>
    <row r="97">
      <c r="A97" s="8" t="s">
        <v>569</v>
      </c>
      <c r="B97" s="6" t="s">
        <v>550</v>
      </c>
      <c r="C97" s="7" t="s">
        <v>650</v>
      </c>
      <c r="D97" s="8" t="s">
        <v>550</v>
      </c>
      <c r="H97" t="s">
        <v>571</v>
      </c>
      <c r="I97" t="s">
        <v>437</v>
      </c>
    </row>
    <row r="98">
      <c r="A98" s="8" t="s">
        <v>93</v>
      </c>
      <c r="B98" s="6" t="s">
        <v>552</v>
      </c>
      <c r="C98" s="7" t="s">
        <v>572</v>
      </c>
      <c r="D98" s="8" t="s">
        <v>552</v>
      </c>
      <c r="H98" t="s">
        <v>573</v>
      </c>
      <c r="I98" t="s">
        <v>409</v>
      </c>
    </row>
    <row r="99">
      <c r="A99" s="8" t="s">
        <v>289</v>
      </c>
      <c r="B99" s="6" t="s">
        <v>553</v>
      </c>
      <c r="C99" s="7" t="s">
        <v>574</v>
      </c>
      <c r="D99" s="8" t="s">
        <v>553</v>
      </c>
      <c r="H99" t="s">
        <v>575</v>
      </c>
      <c r="I99" t="s">
        <v>576</v>
      </c>
    </row>
    <row r="100">
      <c r="A100" s="8" t="s">
        <v>289</v>
      </c>
      <c r="B100" s="6" t="s">
        <v>554</v>
      </c>
      <c r="C100" s="7" t="s">
        <v>577</v>
      </c>
      <c r="D100" s="8" t="s">
        <v>554</v>
      </c>
      <c r="H100" t="s">
        <v>578</v>
      </c>
      <c r="I100" t="s">
        <v>579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500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500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  <c r="K1" s="5" t="s">
        <v>273</v>
      </c>
      <c r="L1" s="5" t="s">
        <v>276</v>
      </c>
      <c r="M1" s="5" t="s">
        <v>544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  <row r="26">
      <c r="A26" s="6" t="s">
        <v>279</v>
      </c>
      <c r="B26" s="9" t="s">
        <v>295</v>
      </c>
      <c r="C26" s="9" t="n">
        <v>1</v>
      </c>
      <c r="E26" s="10" t="n">
        <v>13200</v>
      </c>
      <c r="L26" t="s">
        <v>296</v>
      </c>
    </row>
    <row r="27">
      <c r="A27" s="6" t="s">
        <v>297</v>
      </c>
      <c r="B27" s="9" t="s">
        <v>295</v>
      </c>
      <c r="C27" s="9" t="n">
        <v>1</v>
      </c>
      <c r="E27" s="10" t="n">
        <v>16500</v>
      </c>
      <c r="L27" t="s">
        <v>298</v>
      </c>
    </row>
    <row r="28">
      <c r="A28" s="6" t="s">
        <v>299</v>
      </c>
      <c r="B28" s="9" t="s">
        <v>295</v>
      </c>
      <c r="C28" s="9" t="n">
        <v>1</v>
      </c>
      <c r="E28" s="10" t="n">
        <v>16500</v>
      </c>
      <c r="L28" t="s">
        <v>300</v>
      </c>
    </row>
    <row r="29">
      <c r="A29" s="6" t="s">
        <v>301</v>
      </c>
      <c r="B29" s="9" t="s">
        <v>295</v>
      </c>
      <c r="C29" s="9" t="n">
        <v>1</v>
      </c>
      <c r="E29" s="10" t="n">
        <v>18700</v>
      </c>
      <c r="L29" t="s">
        <v>302</v>
      </c>
    </row>
    <row r="30">
      <c r="A30" s="6" t="s">
        <v>303</v>
      </c>
      <c r="B30" s="9" t="s">
        <v>295</v>
      </c>
      <c r="C30" s="9" t="n">
        <v>1</v>
      </c>
      <c r="E30" s="10" t="n">
        <v>17600</v>
      </c>
      <c r="L30" t="s">
        <v>304</v>
      </c>
    </row>
    <row r="31">
      <c r="A31" s="6" t="s">
        <v>305</v>
      </c>
      <c r="B31" s="9" t="s">
        <v>295</v>
      </c>
      <c r="C31" s="9" t="n">
        <v>1</v>
      </c>
      <c r="E31" s="10" t="n">
        <v>24200</v>
      </c>
      <c r="L31" t="s">
        <v>306</v>
      </c>
    </row>
    <row r="32">
      <c r="A32" s="6" t="s">
        <v>307</v>
      </c>
      <c r="B32" s="9" t="s">
        <v>308</v>
      </c>
      <c r="C32" s="9" t="n">
        <v>1</v>
      </c>
      <c r="E32" s="10" t="n">
        <v>28000</v>
      </c>
      <c r="L32" t="s">
        <v>296</v>
      </c>
    </row>
    <row r="33">
      <c r="A33" s="6" t="s">
        <v>309</v>
      </c>
      <c r="B33" s="9" t="s">
        <v>308</v>
      </c>
      <c r="C33" s="9" t="n">
        <v>1</v>
      </c>
      <c r="E33" s="10" t="n">
        <v>38000</v>
      </c>
      <c r="L33" t="s">
        <v>298</v>
      </c>
    </row>
    <row r="34">
      <c r="A34" s="6" t="s">
        <v>310</v>
      </c>
      <c r="B34" s="9" t="s">
        <v>308</v>
      </c>
      <c r="C34" s="9" t="n">
        <v>1</v>
      </c>
      <c r="E34" s="10" t="n">
        <v>38000</v>
      </c>
      <c r="L34" t="s">
        <v>300</v>
      </c>
    </row>
    <row r="35">
      <c r="A35" s="6" t="s">
        <v>311</v>
      </c>
      <c r="B35" s="9" t="s">
        <v>308</v>
      </c>
      <c r="C35" s="9" t="n">
        <v>1</v>
      </c>
      <c r="E35" s="10" t="n">
        <v>45000</v>
      </c>
      <c r="L35" t="s">
        <v>302</v>
      </c>
    </row>
    <row r="36">
      <c r="A36" s="6" t="s">
        <v>312</v>
      </c>
      <c r="B36" s="9" t="s">
        <v>313</v>
      </c>
      <c r="C36" s="9" t="n">
        <v>1</v>
      </c>
      <c r="E36" s="10" t="n">
        <v>42000</v>
      </c>
      <c r="L36" t="s">
        <v>296</v>
      </c>
    </row>
    <row r="37">
      <c r="A37" s="6" t="s">
        <v>314</v>
      </c>
      <c r="B37" s="9" t="s">
        <v>313</v>
      </c>
      <c r="C37" s="9" t="n">
        <v>1</v>
      </c>
      <c r="E37" s="10" t="n">
        <v>54000</v>
      </c>
      <c r="L37" t="s">
        <v>298</v>
      </c>
    </row>
    <row r="38">
      <c r="A38" s="6" t="s">
        <v>315</v>
      </c>
      <c r="B38" s="9" t="s">
        <v>313</v>
      </c>
      <c r="C38" s="9" t="n">
        <v>1</v>
      </c>
      <c r="E38" s="10" t="n">
        <v>54000</v>
      </c>
      <c r="L38" t="s">
        <v>300</v>
      </c>
    </row>
    <row r="39">
      <c r="A39" s="6" t="s">
        <v>316</v>
      </c>
      <c r="B39" s="9" t="s">
        <v>313</v>
      </c>
      <c r="C39" s="9" t="n">
        <v>1</v>
      </c>
      <c r="E39" s="10" t="n">
        <v>59000</v>
      </c>
      <c r="L39" t="s">
        <v>302</v>
      </c>
    </row>
    <row r="40">
      <c r="A40" s="6" t="s">
        <v>317</v>
      </c>
      <c r="B40" s="9" t="s">
        <v>318</v>
      </c>
      <c r="C40" s="9" t="n">
        <v>1</v>
      </c>
      <c r="E40" s="10" t="n">
        <v>35000</v>
      </c>
    </row>
    <row r="41">
      <c r="A41" s="6" t="s">
        <v>319</v>
      </c>
      <c r="B41" s="9" t="s">
        <v>320</v>
      </c>
      <c r="C41" s="9" t="n">
        <v>1</v>
      </c>
      <c r="E41" s="10" t="n">
        <v>25000</v>
      </c>
    </row>
    <row r="42">
      <c r="A42" s="6" t="s">
        <v>321</v>
      </c>
      <c r="B42" s="9" t="s">
        <v>322</v>
      </c>
      <c r="C42" s="9" t="n">
        <v>1</v>
      </c>
      <c r="E42" s="10" t="n">
        <v>54000</v>
      </c>
    </row>
    <row r="43">
      <c r="A43" s="6" t="s">
        <v>323</v>
      </c>
      <c r="B43" s="9" t="s">
        <v>324</v>
      </c>
      <c r="C43" s="9" t="n">
        <v>1</v>
      </c>
      <c r="D43" s="9" t="n">
        <v>200</v>
      </c>
      <c r="E43" s="10" t="n">
        <v>250</v>
      </c>
      <c r="K43" t="s">
        <v>284</v>
      </c>
    </row>
    <row r="44">
      <c r="A44" s="6" t="s">
        <v>323</v>
      </c>
      <c r="B44" s="9" t="s">
        <v>324</v>
      </c>
      <c r="C44" s="9" t="n">
        <v>201</v>
      </c>
      <c r="D44" s="9" t="n">
        <v>500</v>
      </c>
      <c r="E44" s="10" t="n">
        <v>220</v>
      </c>
    </row>
    <row r="45">
      <c r="A45" s="6" t="s">
        <v>323</v>
      </c>
      <c r="B45" s="9" t="s">
        <v>324</v>
      </c>
      <c r="C45" s="9" t="n">
        <v>501</v>
      </c>
      <c r="D45" s="9" t="n">
        <v>1000</v>
      </c>
      <c r="E45" s="10" t="n">
        <v>190</v>
      </c>
    </row>
    <row r="46">
      <c r="A46" s="6" t="s">
        <v>323</v>
      </c>
      <c r="B46" s="9" t="s">
        <v>324</v>
      </c>
      <c r="C46" s="9" t="n">
        <v>1001</v>
      </c>
      <c r="E46" s="10" t="n">
        <v>180</v>
      </c>
    </row>
    <row r="47">
      <c r="A47" s="6" t="s">
        <v>325</v>
      </c>
      <c r="B47" s="9" t="s">
        <v>324</v>
      </c>
      <c r="C47" s="9" t="n">
        <v>1</v>
      </c>
      <c r="D47" s="9" t="n">
        <v>20</v>
      </c>
      <c r="E47" s="10" t="n">
        <v>2600</v>
      </c>
      <c r="K47" t="s">
        <v>284</v>
      </c>
    </row>
    <row r="48">
      <c r="A48" s="6" t="s">
        <v>325</v>
      </c>
      <c r="B48" s="9" t="s">
        <v>324</v>
      </c>
      <c r="C48" s="9" t="n">
        <v>21</v>
      </c>
      <c r="D48" s="9" t="n">
        <v>50</v>
      </c>
      <c r="E48" s="10" t="n">
        <v>2500</v>
      </c>
    </row>
    <row r="49">
      <c r="A49" s="6" t="s">
        <v>325</v>
      </c>
      <c r="B49" s="9" t="s">
        <v>324</v>
      </c>
      <c r="C49" s="9" t="n">
        <v>51</v>
      </c>
      <c r="D49" s="9" t="n">
        <v>100</v>
      </c>
      <c r="E49" s="10" t="n">
        <v>2300</v>
      </c>
    </row>
    <row r="50">
      <c r="A50" s="6" t="s">
        <v>325</v>
      </c>
      <c r="B50" s="9" t="s">
        <v>324</v>
      </c>
      <c r="C50" s="9" t="n">
        <v>101</v>
      </c>
      <c r="D50" s="9" t="n">
        <v>300</v>
      </c>
      <c r="E50" s="10" t="n">
        <v>2100</v>
      </c>
    </row>
    <row r="51">
      <c r="A51" s="6" t="s">
        <v>325</v>
      </c>
      <c r="B51" s="9" t="s">
        <v>324</v>
      </c>
      <c r="C51" s="9" t="n">
        <v>301</v>
      </c>
      <c r="E51" s="10" t="n">
        <v>1900</v>
      </c>
    </row>
    <row r="52">
      <c r="A52" s="6" t="s">
        <v>326</v>
      </c>
      <c r="B52" s="9" t="s">
        <v>324</v>
      </c>
      <c r="C52" s="9" t="n">
        <v>1</v>
      </c>
      <c r="D52" s="9" t="n">
        <v>20</v>
      </c>
      <c r="E52" s="10" t="n">
        <v>3000</v>
      </c>
      <c r="K52" t="s">
        <v>284</v>
      </c>
    </row>
    <row r="53">
      <c r="A53" s="6" t="s">
        <v>326</v>
      </c>
      <c r="B53" s="9" t="s">
        <v>324</v>
      </c>
      <c r="C53" s="9" t="n">
        <v>21</v>
      </c>
      <c r="D53" s="9" t="n">
        <v>50</v>
      </c>
      <c r="E53" s="10" t="n">
        <v>2800</v>
      </c>
    </row>
    <row r="54">
      <c r="A54" s="6" t="s">
        <v>326</v>
      </c>
      <c r="B54" s="9" t="s">
        <v>324</v>
      </c>
      <c r="C54" s="9" t="n">
        <v>51</v>
      </c>
      <c r="D54" s="9" t="n">
        <v>100</v>
      </c>
      <c r="E54" s="10" t="n">
        <v>2600</v>
      </c>
    </row>
    <row r="55">
      <c r="A55" s="6" t="s">
        <v>326</v>
      </c>
      <c r="B55" s="9" t="s">
        <v>324</v>
      </c>
      <c r="C55" s="9" t="n">
        <v>101</v>
      </c>
      <c r="D55" s="9" t="n">
        <v>300</v>
      </c>
      <c r="E55" s="10" t="n">
        <v>2400</v>
      </c>
    </row>
    <row r="56">
      <c r="A56" s="6" t="s">
        <v>326</v>
      </c>
      <c r="B56" s="9" t="s">
        <v>324</v>
      </c>
      <c r="C56" s="9" t="n">
        <v>301</v>
      </c>
      <c r="E56" s="10" t="n">
        <v>2300</v>
      </c>
    </row>
    <row r="57">
      <c r="A57" s="6" t="s">
        <v>327</v>
      </c>
      <c r="B57" s="9" t="s">
        <v>324</v>
      </c>
      <c r="C57" s="9" t="n">
        <v>1</v>
      </c>
      <c r="D57" s="9" t="n">
        <v>10</v>
      </c>
      <c r="E57" s="10" t="n">
        <v>4000</v>
      </c>
      <c r="K57" t="s">
        <v>284</v>
      </c>
    </row>
    <row r="58">
      <c r="A58" s="6" t="s">
        <v>327</v>
      </c>
      <c r="B58" s="9" t="s">
        <v>324</v>
      </c>
      <c r="C58" s="9" t="n">
        <v>11</v>
      </c>
      <c r="D58" s="9" t="n">
        <v>20</v>
      </c>
      <c r="E58" s="10" t="n">
        <v>3400</v>
      </c>
    </row>
    <row r="59">
      <c r="A59" s="6" t="s">
        <v>327</v>
      </c>
      <c r="B59" s="9" t="s">
        <v>324</v>
      </c>
      <c r="C59" s="9" t="n">
        <v>21</v>
      </c>
      <c r="D59" s="9" t="n">
        <v>50</v>
      </c>
      <c r="E59" s="10" t="n">
        <v>3000</v>
      </c>
    </row>
    <row r="60">
      <c r="A60" s="6" t="s">
        <v>327</v>
      </c>
      <c r="B60" s="9" t="s">
        <v>324</v>
      </c>
      <c r="C60" s="9" t="n">
        <v>51</v>
      </c>
      <c r="E60" s="10" t="n">
        <v>2600</v>
      </c>
    </row>
    <row r="61">
      <c r="A61" s="6" t="s">
        <v>328</v>
      </c>
      <c r="B61" s="9" t="s">
        <v>324</v>
      </c>
      <c r="C61" s="9" t="n">
        <v>1</v>
      </c>
      <c r="D61" s="9" t="n">
        <v>10</v>
      </c>
      <c r="E61" s="10" t="n">
        <v>4500</v>
      </c>
      <c r="K61" t="s">
        <v>284</v>
      </c>
    </row>
    <row r="62">
      <c r="A62" s="6" t="s">
        <v>328</v>
      </c>
      <c r="B62" s="9" t="s">
        <v>324</v>
      </c>
      <c r="C62" s="9" t="n">
        <v>11</v>
      </c>
      <c r="D62" s="9" t="n">
        <v>20</v>
      </c>
      <c r="E62" s="10" t="n">
        <v>3800</v>
      </c>
    </row>
    <row r="63">
      <c r="A63" s="6" t="s">
        <v>328</v>
      </c>
      <c r="B63" s="9" t="s">
        <v>324</v>
      </c>
      <c r="C63" s="9" t="n">
        <v>21</v>
      </c>
      <c r="D63" s="9" t="n">
        <v>50</v>
      </c>
      <c r="E63" s="10" t="n">
        <v>3200</v>
      </c>
    </row>
    <row r="64">
      <c r="A64" s="6" t="s">
        <v>328</v>
      </c>
      <c r="B64" s="9" t="s">
        <v>324</v>
      </c>
      <c r="C64" s="9" t="n">
        <v>51</v>
      </c>
      <c r="E64" s="10" t="n">
        <v>2800</v>
      </c>
    </row>
    <row r="65">
      <c r="A65" s="6" t="s">
        <v>329</v>
      </c>
      <c r="B65" s="9" t="s">
        <v>330</v>
      </c>
      <c r="C65" s="9" t="n">
        <v>1</v>
      </c>
      <c r="D65" s="9" t="n">
        <v>70</v>
      </c>
      <c r="E65" s="10" t="n">
        <v>400</v>
      </c>
      <c r="K65" t="s">
        <v>284</v>
      </c>
    </row>
    <row r="66">
      <c r="A66" s="6" t="s">
        <v>329</v>
      </c>
      <c r="B66" s="9" t="s">
        <v>330</v>
      </c>
      <c r="C66" s="9" t="n">
        <v>71</v>
      </c>
      <c r="D66" s="9" t="n">
        <v>150</v>
      </c>
      <c r="E66" s="10" t="n">
        <v>150</v>
      </c>
    </row>
    <row r="67">
      <c r="A67" s="6" t="s">
        <v>329</v>
      </c>
      <c r="B67" s="9" t="s">
        <v>330</v>
      </c>
      <c r="C67" s="9" t="n">
        <v>151</v>
      </c>
      <c r="D67" s="9" t="n">
        <v>500</v>
      </c>
      <c r="E67" s="10" t="n">
        <v>80</v>
      </c>
    </row>
    <row r="68">
      <c r="A68" s="6" t="s">
        <v>329</v>
      </c>
      <c r="B68" s="9" t="s">
        <v>330</v>
      </c>
      <c r="C68" s="9" t="n">
        <v>501</v>
      </c>
      <c r="E68" s="10" t="n">
        <v>70</v>
      </c>
    </row>
    <row r="69">
      <c r="A69" s="6" t="s">
        <v>331</v>
      </c>
      <c r="B69" s="9" t="s">
        <v>330</v>
      </c>
      <c r="C69" s="9" t="n">
        <v>1</v>
      </c>
      <c r="D69" s="9" t="n">
        <v>70</v>
      </c>
      <c r="E69" s="10" t="n">
        <v>600</v>
      </c>
      <c r="K69" t="s">
        <v>284</v>
      </c>
    </row>
    <row r="70">
      <c r="A70" s="6" t="s">
        <v>331</v>
      </c>
      <c r="B70" s="9" t="s">
        <v>330</v>
      </c>
      <c r="C70" s="9" t="n">
        <v>71</v>
      </c>
      <c r="D70" s="9" t="n">
        <v>150</v>
      </c>
      <c r="E70" s="10" t="n">
        <v>200</v>
      </c>
    </row>
    <row r="71">
      <c r="A71" s="6" t="s">
        <v>331</v>
      </c>
      <c r="B71" s="9" t="s">
        <v>330</v>
      </c>
      <c r="C71" s="9" t="n">
        <v>151</v>
      </c>
      <c r="D71" s="9" t="n">
        <v>500</v>
      </c>
      <c r="E71" s="10" t="n">
        <v>120</v>
      </c>
    </row>
    <row r="72">
      <c r="A72" s="6" t="s">
        <v>331</v>
      </c>
      <c r="B72" s="9" t="s">
        <v>330</v>
      </c>
      <c r="C72" s="9" t="n">
        <v>501</v>
      </c>
      <c r="E72" s="10" t="n">
        <v>110</v>
      </c>
    </row>
    <row r="73">
      <c r="A73" s="6" t="s">
        <v>332</v>
      </c>
      <c r="B73" s="9" t="s">
        <v>330</v>
      </c>
      <c r="C73" s="9" t="n">
        <v>1</v>
      </c>
      <c r="D73" s="9" t="n">
        <v>10</v>
      </c>
      <c r="E73" s="10" t="n">
        <v>100</v>
      </c>
      <c r="K73" t="s">
        <v>284</v>
      </c>
    </row>
    <row r="74">
      <c r="A74" s="6" t="s">
        <v>332</v>
      </c>
      <c r="B74" s="9" t="s">
        <v>330</v>
      </c>
      <c r="C74" s="9" t="n">
        <v>11</v>
      </c>
      <c r="E74" s="10" t="n">
        <v>70</v>
      </c>
    </row>
    <row r="75">
      <c r="A75" s="6" t="s">
        <v>333</v>
      </c>
      <c r="B75" s="9" t="s">
        <v>330</v>
      </c>
      <c r="C75" s="9" t="n">
        <v>1</v>
      </c>
      <c r="D75" s="9" t="n">
        <v>10</v>
      </c>
      <c r="E75" s="10" t="n">
        <v>150</v>
      </c>
      <c r="K75" t="s">
        <v>284</v>
      </c>
    </row>
    <row r="76">
      <c r="A76" s="6" t="s">
        <v>333</v>
      </c>
      <c r="B76" s="9" t="s">
        <v>330</v>
      </c>
      <c r="C76" s="9" t="n">
        <v>11</v>
      </c>
      <c r="D76" s="9" t="n">
        <v>100</v>
      </c>
      <c r="E76" s="10" t="n">
        <v>96</v>
      </c>
    </row>
    <row r="77">
      <c r="A77" s="6" t="s">
        <v>333</v>
      </c>
      <c r="B77" s="9" t="s">
        <v>330</v>
      </c>
      <c r="C77" s="9" t="n">
        <v>101</v>
      </c>
      <c r="D77" s="9" t="n">
        <v>500</v>
      </c>
      <c r="E77" s="10" t="n">
        <v>88</v>
      </c>
    </row>
    <row r="78">
      <c r="A78" s="6" t="s">
        <v>333</v>
      </c>
      <c r="B78" s="9" t="s">
        <v>330</v>
      </c>
      <c r="C78" s="9" t="n">
        <v>501</v>
      </c>
      <c r="D78" s="9" t="n">
        <v>1000</v>
      </c>
      <c r="E78" s="10" t="n">
        <v>86</v>
      </c>
    </row>
    <row r="79">
      <c r="A79" s="6" t="s">
        <v>333</v>
      </c>
      <c r="B79" s="9" t="s">
        <v>330</v>
      </c>
      <c r="C79" s="9" t="n">
        <v>1001</v>
      </c>
      <c r="E79" s="10" t="n">
        <v>84</v>
      </c>
    </row>
    <row r="80">
      <c r="A80" s="6" t="s">
        <v>334</v>
      </c>
      <c r="B80" s="9" t="s">
        <v>330</v>
      </c>
      <c r="C80" s="9" t="n">
        <v>1</v>
      </c>
      <c r="E80" s="10" t="n">
        <v>1200</v>
      </c>
      <c r="K80" t="s">
        <v>284</v>
      </c>
    </row>
    <row r="81">
      <c r="A81" s="6" t="s">
        <v>335</v>
      </c>
      <c r="B81" s="9" t="s">
        <v>330</v>
      </c>
      <c r="C81" s="9" t="n">
        <v>1</v>
      </c>
      <c r="E81" s="10" t="n">
        <v>600</v>
      </c>
      <c r="K81" t="s">
        <v>284</v>
      </c>
    </row>
    <row r="82">
      <c r="A82" s="6" t="s">
        <v>336</v>
      </c>
      <c r="B82" s="9" t="s">
        <v>330</v>
      </c>
      <c r="C82" s="9" t="n">
        <v>1</v>
      </c>
      <c r="E82" s="10" t="n">
        <v>800</v>
      </c>
      <c r="K82" t="s">
        <v>284</v>
      </c>
    </row>
    <row r="83">
      <c r="A83" s="6" t="s">
        <v>337</v>
      </c>
      <c r="B83" s="9" t="s">
        <v>330</v>
      </c>
      <c r="C83" s="9" t="n">
        <v>1</v>
      </c>
      <c r="E83" s="10" t="n">
        <v>900</v>
      </c>
      <c r="K83" t="s">
        <v>284</v>
      </c>
    </row>
    <row r="84">
      <c r="A84" s="6" t="s">
        <v>338</v>
      </c>
      <c r="B84" s="9" t="s">
        <v>324</v>
      </c>
      <c r="C84" s="9" t="n">
        <v>1</v>
      </c>
      <c r="E84" s="10" t="n">
        <v>2400</v>
      </c>
      <c r="K84" t="s">
        <v>284</v>
      </c>
    </row>
    <row r="85">
      <c r="A85" s="6" t="s">
        <v>339</v>
      </c>
      <c r="B85" s="9" t="s">
        <v>324</v>
      </c>
      <c r="C85" s="9" t="n">
        <v>1</v>
      </c>
      <c r="E85" s="10" t="n">
        <v>3200</v>
      </c>
      <c r="K85" t="s">
        <v>284</v>
      </c>
    </row>
    <row r="86">
      <c r="A86" s="6" t="s">
        <v>340</v>
      </c>
      <c r="B86" s="9" t="s">
        <v>324</v>
      </c>
      <c r="C86" s="9" t="n">
        <v>1</v>
      </c>
      <c r="E86" s="10" t="n">
        <v>2000</v>
      </c>
      <c r="K86" t="s">
        <v>284</v>
      </c>
    </row>
    <row r="87">
      <c r="A87" s="6" t="s">
        <v>341</v>
      </c>
      <c r="B87" s="9" t="s">
        <v>324</v>
      </c>
      <c r="C87" s="9" t="n">
        <v>1</v>
      </c>
      <c r="D87" s="9" t="n">
        <v>1</v>
      </c>
      <c r="E87" s="10" t="n">
        <v>7000</v>
      </c>
    </row>
    <row r="88">
      <c r="A88" s="6" t="s">
        <v>341</v>
      </c>
      <c r="B88" s="9" t="s">
        <v>324</v>
      </c>
      <c r="C88" s="9" t="n">
        <v>2</v>
      </c>
      <c r="E88" s="10" t="n">
        <v>5000</v>
      </c>
    </row>
    <row r="89">
      <c r="A89" s="6" t="s">
        <v>342</v>
      </c>
      <c r="B89" s="9" t="s">
        <v>324</v>
      </c>
      <c r="C89" s="9" t="n">
        <v>1</v>
      </c>
      <c r="E89" s="10" t="n">
        <v>330</v>
      </c>
      <c r="K89" t="s">
        <v>284</v>
      </c>
    </row>
    <row r="90">
      <c r="A90" s="6" t="s">
        <v>343</v>
      </c>
      <c r="B90" s="9" t="s">
        <v>324</v>
      </c>
      <c r="C90" s="9" t="n">
        <v>1</v>
      </c>
      <c r="E90" s="10" t="n">
        <v>2200</v>
      </c>
      <c r="K90" t="s">
        <v>284</v>
      </c>
      <c r="L90" t="s">
        <v>344</v>
      </c>
    </row>
    <row r="91">
      <c r="A91" s="6" t="s">
        <v>345</v>
      </c>
      <c r="B91" s="9" t="s">
        <v>324</v>
      </c>
      <c r="C91" s="9" t="n">
        <v>1</v>
      </c>
      <c r="E91" s="10" t="n">
        <v>2400</v>
      </c>
      <c r="K91" t="s">
        <v>284</v>
      </c>
      <c r="L91" t="s">
        <v>344</v>
      </c>
    </row>
    <row r="92">
      <c r="A92" s="6" t="s">
        <v>346</v>
      </c>
      <c r="B92" s="9" t="s">
        <v>324</v>
      </c>
      <c r="C92" s="9" t="n">
        <v>1</v>
      </c>
      <c r="E92" s="10" t="n">
        <v>3000</v>
      </c>
      <c r="K92" t="s">
        <v>284</v>
      </c>
      <c r="L92" t="s">
        <v>344</v>
      </c>
    </row>
    <row r="93">
      <c r="A93" s="6" t="s">
        <v>347</v>
      </c>
      <c r="B93" s="9" t="s">
        <v>324</v>
      </c>
      <c r="C93" s="9" t="n">
        <v>1</v>
      </c>
      <c r="E93" s="10" t="n">
        <v>1500</v>
      </c>
      <c r="K93" t="s">
        <v>284</v>
      </c>
      <c r="L93" t="s">
        <v>344</v>
      </c>
    </row>
    <row r="94">
      <c r="A94" s="6" t="s">
        <v>348</v>
      </c>
      <c r="B94" s="9" t="s">
        <v>324</v>
      </c>
      <c r="C94" s="9" t="n">
        <v>1</v>
      </c>
      <c r="E94" s="10" t="n">
        <v>800</v>
      </c>
      <c r="K94" t="s">
        <v>284</v>
      </c>
      <c r="L94" t="s">
        <v>344</v>
      </c>
    </row>
    <row r="95">
      <c r="A95" s="6" t="s">
        <v>349</v>
      </c>
      <c r="B95" s="9" t="s">
        <v>324</v>
      </c>
      <c r="C95" s="9" t="n">
        <v>1</v>
      </c>
      <c r="E95" s="10" t="n">
        <v>50</v>
      </c>
      <c r="K95" t="s">
        <v>284</v>
      </c>
    </row>
    <row r="96">
      <c r="A96" s="6" t="s">
        <v>350</v>
      </c>
      <c r="B96" s="9" t="s">
        <v>324</v>
      </c>
      <c r="C96" s="9" t="n">
        <v>1</v>
      </c>
      <c r="E96" s="10" t="n">
        <v>1000</v>
      </c>
      <c r="K96" t="s">
        <v>284</v>
      </c>
    </row>
    <row r="97">
      <c r="A97" s="6" t="s">
        <v>351</v>
      </c>
      <c r="B97" s="9" t="s">
        <v>324</v>
      </c>
      <c r="C97" s="9" t="n">
        <v>1</v>
      </c>
      <c r="E97" s="10" t="n">
        <v>5000</v>
      </c>
    </row>
    <row r="98">
      <c r="A98" s="6" t="s">
        <v>352</v>
      </c>
      <c r="B98" s="9" t="s">
        <v>353</v>
      </c>
      <c r="C98" s="9" t="n">
        <v>1</v>
      </c>
      <c r="E98" s="10" t="n">
        <v>4000</v>
      </c>
    </row>
    <row r="99">
      <c r="A99" s="6" t="s">
        <v>354</v>
      </c>
      <c r="B99" s="9" t="s">
        <v>355</v>
      </c>
      <c r="C99" s="9" t="n">
        <v>1</v>
      </c>
      <c r="E99" s="10" t="n">
        <v>12000</v>
      </c>
    </row>
    <row r="100">
      <c r="A100" s="6" t="s">
        <v>356</v>
      </c>
      <c r="B100" s="9" t="s">
        <v>324</v>
      </c>
      <c r="C100" s="9" t="n">
        <v>1</v>
      </c>
      <c r="E100" s="10" t="n">
        <v>30000</v>
      </c>
    </row>
    <row r="101">
      <c r="A101" s="6" t="s">
        <v>357</v>
      </c>
      <c r="B101" s="9" t="s">
        <v>358</v>
      </c>
      <c r="C101" s="9" t="n">
        <v>1</v>
      </c>
      <c r="E101" s="10" t="n">
        <v>99000</v>
      </c>
    </row>
    <row r="102">
      <c r="A102" s="6" t="s">
        <v>359</v>
      </c>
      <c r="B102" s="9" t="s">
        <v>324</v>
      </c>
      <c r="C102" s="9" t="n">
        <v>1</v>
      </c>
      <c r="D102" s="9" t="n">
        <v>10</v>
      </c>
      <c r="E102" s="10" t="n">
        <v>4000</v>
      </c>
      <c r="K102" t="s">
        <v>284</v>
      </c>
    </row>
    <row r="103">
      <c r="A103" s="6" t="s">
        <v>359</v>
      </c>
      <c r="B103" s="9" t="s">
        <v>324</v>
      </c>
      <c r="C103" s="9" t="n">
        <v>11</v>
      </c>
      <c r="D103" s="9" t="n">
        <v>20</v>
      </c>
      <c r="E103" s="10" t="n">
        <v>3400</v>
      </c>
    </row>
    <row r="104">
      <c r="A104" s="6" t="s">
        <v>359</v>
      </c>
      <c r="B104" s="9" t="s">
        <v>324</v>
      </c>
      <c r="C104" s="9" t="n">
        <v>21</v>
      </c>
      <c r="D104" s="9" t="n">
        <v>50</v>
      </c>
      <c r="E104" s="10" t="n">
        <v>3000</v>
      </c>
    </row>
    <row r="105">
      <c r="A105" s="6" t="s">
        <v>359</v>
      </c>
      <c r="B105" s="9" t="s">
        <v>324</v>
      </c>
      <c r="C105" s="9" t="n">
        <v>51</v>
      </c>
      <c r="E105" s="10" t="n">
        <v>2600</v>
      </c>
    </row>
    <row r="106">
      <c r="A106" s="6" t="s">
        <v>360</v>
      </c>
      <c r="B106" s="9" t="s">
        <v>324</v>
      </c>
      <c r="C106" s="9" t="n">
        <v>1</v>
      </c>
      <c r="D106" s="9" t="n">
        <v>10</v>
      </c>
      <c r="E106" s="10" t="n">
        <v>4500</v>
      </c>
      <c r="K106" t="s">
        <v>284</v>
      </c>
    </row>
    <row r="107">
      <c r="A107" s="6" t="s">
        <v>360</v>
      </c>
      <c r="B107" s="9" t="s">
        <v>324</v>
      </c>
      <c r="C107" s="9" t="n">
        <v>11</v>
      </c>
      <c r="D107" s="9" t="n">
        <v>20</v>
      </c>
      <c r="E107" s="10" t="n">
        <v>3800</v>
      </c>
    </row>
    <row r="108">
      <c r="A108" s="6" t="s">
        <v>360</v>
      </c>
      <c r="B108" s="9" t="s">
        <v>324</v>
      </c>
      <c r="C108" s="9" t="n">
        <v>21</v>
      </c>
      <c r="D108" s="9" t="n">
        <v>50</v>
      </c>
      <c r="E108" s="10" t="n">
        <v>3200</v>
      </c>
    </row>
    <row r="109">
      <c r="A109" s="6" t="s">
        <v>360</v>
      </c>
      <c r="B109" s="9" t="s">
        <v>324</v>
      </c>
      <c r="C109" s="9" t="n">
        <v>51</v>
      </c>
      <c r="E109" s="10" t="n">
        <v>2800</v>
      </c>
    </row>
    <row r="110">
      <c r="A110" s="6" t="s">
        <v>361</v>
      </c>
      <c r="B110" s="9" t="s">
        <v>324</v>
      </c>
      <c r="C110" s="9" t="n">
        <v>1</v>
      </c>
      <c r="E110" s="10" t="n">
        <v>1600</v>
      </c>
      <c r="K110" t="s">
        <v>284</v>
      </c>
    </row>
    <row r="111">
      <c r="A111" s="6" t="s">
        <v>362</v>
      </c>
      <c r="B111" s="9" t="s">
        <v>324</v>
      </c>
      <c r="C111" s="9" t="n">
        <v>1</v>
      </c>
      <c r="E111" s="10" t="n">
        <v>38000</v>
      </c>
    </row>
    <row r="112">
      <c r="A112" s="6" t="s">
        <v>363</v>
      </c>
      <c r="B112" s="9" t="s">
        <v>324</v>
      </c>
      <c r="C112" s="9" t="n">
        <v>1</v>
      </c>
      <c r="E112" s="10" t="n">
        <v>32000</v>
      </c>
    </row>
    <row r="113">
      <c r="A113" s="6" t="s">
        <v>364</v>
      </c>
      <c r="B113" s="9" t="s">
        <v>324</v>
      </c>
      <c r="C113" s="9" t="n">
        <v>1</v>
      </c>
      <c r="E113" s="10" t="n">
        <v>10500</v>
      </c>
    </row>
    <row r="114">
      <c r="A114" s="6" t="s">
        <v>365</v>
      </c>
      <c r="B114" s="9" t="s">
        <v>324</v>
      </c>
      <c r="C114" s="9" t="n">
        <v>1</v>
      </c>
      <c r="E114" s="10" t="n">
        <v>2600</v>
      </c>
      <c r="K114" t="s">
        <v>284</v>
      </c>
    </row>
    <row r="115">
      <c r="A115" s="6" t="s">
        <v>366</v>
      </c>
      <c r="B115" s="9" t="s">
        <v>324</v>
      </c>
      <c r="C115" s="9" t="n">
        <v>1</v>
      </c>
      <c r="E115" s="10" t="n">
        <v>4800</v>
      </c>
    </row>
    <row r="116">
      <c r="A116" s="6" t="s">
        <v>546</v>
      </c>
      <c r="B116" s="9" t="s">
        <v>170</v>
      </c>
      <c r="C116" s="9" t="n">
        <v>1</v>
      </c>
      <c r="E116" s="10" t="n">
        <v>18000</v>
      </c>
      <c r="F116" t="s">
        <v>547</v>
      </c>
    </row>
    <row r="117">
      <c r="A117" s="6" t="s">
        <v>548</v>
      </c>
      <c r="B117" s="9" t="s">
        <v>170</v>
      </c>
      <c r="C117" s="9" t="n">
        <v>1</v>
      </c>
      <c r="E117" s="10" t="n">
        <v>46000</v>
      </c>
      <c r="F117" t="s">
        <v>547</v>
      </c>
    </row>
    <row r="118">
      <c r="A118" s="6" t="s">
        <v>549</v>
      </c>
      <c r="B118" s="9" t="s">
        <v>170</v>
      </c>
      <c r="C118" s="9" t="n">
        <v>1</v>
      </c>
      <c r="E118" s="10" t="n">
        <v>7000</v>
      </c>
      <c r="F118" t="s">
        <v>547</v>
      </c>
    </row>
    <row r="119">
      <c r="A119" s="6" t="s">
        <v>550</v>
      </c>
      <c r="B119" s="9" t="s">
        <v>551</v>
      </c>
      <c r="C119" s="9" t="n">
        <v>1</v>
      </c>
      <c r="E119" s="10" t="n">
        <v>8000</v>
      </c>
    </row>
    <row r="120">
      <c r="A120" s="6" t="s">
        <v>552</v>
      </c>
      <c r="B120" s="9" t="s">
        <v>324</v>
      </c>
      <c r="C120" s="9" t="n">
        <v>1</v>
      </c>
      <c r="D120" s="9" t="n">
        <v>1</v>
      </c>
      <c r="E120" s="10" t="n">
        <v>1900</v>
      </c>
    </row>
    <row r="121">
      <c r="A121" s="6" t="s">
        <v>552</v>
      </c>
      <c r="B121" s="9" t="s">
        <v>324</v>
      </c>
      <c r="C121" s="9" t="n">
        <v>2</v>
      </c>
      <c r="D121" s="9" t="n">
        <v>100</v>
      </c>
      <c r="E121" s="10" t="n">
        <v>1400</v>
      </c>
    </row>
    <row r="122">
      <c r="A122" s="6" t="s">
        <v>552</v>
      </c>
      <c r="B122" s="9" t="s">
        <v>324</v>
      </c>
      <c r="C122" s="9" t="n">
        <v>101</v>
      </c>
      <c r="E122" s="10" t="n">
        <v>1000</v>
      </c>
    </row>
    <row r="123">
      <c r="A123" s="6" t="s">
        <v>553</v>
      </c>
      <c r="B123" s="9" t="s">
        <v>324</v>
      </c>
      <c r="C123" s="9" t="n">
        <v>1</v>
      </c>
      <c r="E123" s="10" t="n">
        <v>61360</v>
      </c>
    </row>
    <row r="124">
      <c r="A124" s="6" t="s">
        <v>554</v>
      </c>
      <c r="B124" s="9" t="s">
        <v>324</v>
      </c>
      <c r="C124" s="9" t="n">
        <v>1</v>
      </c>
      <c r="E124" s="10" t="n">
        <v>65200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  <row r="48">
      <c r="A48" s="8" t="s">
        <v>513</v>
      </c>
      <c r="B48" s="9" t="n">
        <v>100</v>
      </c>
      <c r="C48" s="9" t="s">
        <v>279</v>
      </c>
      <c r="D48" s="9" t="n">
        <v>9</v>
      </c>
      <c r="E48" s="9" t="n">
        <v>5</v>
      </c>
      <c r="G48" s="14" t="n">
        <v>13200</v>
      </c>
    </row>
    <row r="49">
      <c r="A49" s="8" t="s">
        <v>514</v>
      </c>
      <c r="B49" s="9" t="n">
        <v>500</v>
      </c>
      <c r="C49" s="9" t="s">
        <v>310</v>
      </c>
      <c r="D49" s="9" t="n">
        <v>9</v>
      </c>
      <c r="E49" s="9" t="n">
        <v>5</v>
      </c>
      <c r="G49" s="14" t="n">
        <v>38000</v>
      </c>
    </row>
    <row r="50">
      <c r="A50" s="8" t="s">
        <v>515</v>
      </c>
      <c r="B50" s="9" t="n">
        <v>1000</v>
      </c>
      <c r="C50" s="9" t="s">
        <v>314</v>
      </c>
      <c r="D50" s="9" t="n">
        <v>9</v>
      </c>
      <c r="E50" s="9" t="n">
        <v>5</v>
      </c>
      <c r="G50" s="14" t="n">
        <v>54000</v>
      </c>
    </row>
    <row r="51">
      <c r="A51" s="8" t="s">
        <v>406</v>
      </c>
      <c r="B51" s="9" t="n">
        <v>500</v>
      </c>
      <c r="C51" s="9" t="s">
        <v>317</v>
      </c>
      <c r="D51" s="9" t="n">
        <v>21</v>
      </c>
      <c r="E51" s="9" t="n">
        <v>29.7</v>
      </c>
      <c r="G51" s="14" t="n">
        <v>35000</v>
      </c>
    </row>
    <row r="52">
      <c r="A52" s="8" t="s">
        <v>516</v>
      </c>
      <c r="B52" s="9" t="n">
        <v>10</v>
      </c>
      <c r="C52" s="9" t="s">
        <v>321</v>
      </c>
      <c r="D52" s="9" t="n">
        <v>15</v>
      </c>
      <c r="E52" s="9" t="n">
        <v>21</v>
      </c>
      <c r="G52" s="14" t="n">
        <v>54000</v>
      </c>
    </row>
    <row r="53">
      <c r="A53" s="8" t="s">
        <v>476</v>
      </c>
      <c r="B53" s="9" t="n">
        <v>500</v>
      </c>
      <c r="C53" s="9" t="s">
        <v>354</v>
      </c>
      <c r="D53" s="9" t="n">
        <v>10</v>
      </c>
      <c r="E53" s="9" t="n">
        <v>15</v>
      </c>
      <c r="G53" s="14" t="n">
        <v>12000</v>
      </c>
    </row>
    <row r="54">
      <c r="A54" s="8" t="s">
        <v>517</v>
      </c>
      <c r="B54" s="9" t="n">
        <v>1</v>
      </c>
      <c r="C54" s="9" t="s">
        <v>362</v>
      </c>
      <c r="D54" s="9" t="n">
        <v>85</v>
      </c>
      <c r="E54" s="9" t="n">
        <v>200</v>
      </c>
      <c r="G54" s="14" t="n">
        <v>38000</v>
      </c>
    </row>
    <row r="55">
      <c r="A55" s="8" t="s">
        <v>518</v>
      </c>
      <c r="B55" s="9" t="n">
        <v>250</v>
      </c>
      <c r="C55" s="9" t="s">
        <v>323</v>
      </c>
      <c r="D55" s="9" t="n">
        <v>23.5</v>
      </c>
      <c r="E55" s="9" t="n">
        <v>12</v>
      </c>
      <c r="G55" s="14" t="n">
        <v>55000</v>
      </c>
    </row>
    <row r="56">
      <c r="A56" s="8" t="s">
        <v>519</v>
      </c>
      <c r="B56" s="9" t="n">
        <v>150</v>
      </c>
      <c r="C56" s="9" t="s">
        <v>323</v>
      </c>
      <c r="D56" s="9" t="n">
        <v>23.5</v>
      </c>
      <c r="E56" s="9" t="n">
        <v>12</v>
      </c>
      <c r="G56" s="14" t="n">
        <v>37500</v>
      </c>
    </row>
    <row r="57">
      <c r="A57" s="8" t="s">
        <v>520</v>
      </c>
      <c r="B57" s="9" t="n">
        <v>600</v>
      </c>
      <c r="C57" s="9" t="s">
        <v>323</v>
      </c>
      <c r="D57" s="9" t="n">
        <v>23.5</v>
      </c>
      <c r="E57" s="9" t="n">
        <v>12</v>
      </c>
      <c r="G57" s="14" t="n">
        <v>114000</v>
      </c>
    </row>
    <row r="58">
      <c r="A58" s="8" t="s">
        <v>521</v>
      </c>
      <c r="B58" s="9" t="n">
        <v>1200</v>
      </c>
      <c r="C58" s="9" t="s">
        <v>323</v>
      </c>
      <c r="D58" s="9" t="n">
        <v>23.5</v>
      </c>
      <c r="E58" s="9" t="n">
        <v>12</v>
      </c>
      <c r="G58" s="14" t="n">
        <v>216000</v>
      </c>
    </row>
    <row r="59">
      <c r="A59" s="8" t="s">
        <v>522</v>
      </c>
      <c r="B59" s="9" t="n">
        <v>30</v>
      </c>
      <c r="C59" s="9" t="s">
        <v>325</v>
      </c>
      <c r="D59" s="9" t="n">
        <v>21</v>
      </c>
      <c r="E59" s="9" t="n">
        <v>29.7</v>
      </c>
      <c r="G59" s="14" t="n">
        <v>75000</v>
      </c>
    </row>
    <row r="60">
      <c r="A60" s="8" t="s">
        <v>523</v>
      </c>
      <c r="B60" s="9" t="n">
        <v>30</v>
      </c>
      <c r="C60" s="9" t="s">
        <v>326</v>
      </c>
      <c r="D60" s="9" t="n">
        <v>21</v>
      </c>
      <c r="E60" s="9" t="n">
        <v>29.7</v>
      </c>
      <c r="G60" s="14" t="n">
        <v>84000</v>
      </c>
    </row>
    <row r="61">
      <c r="A61" s="8" t="s">
        <v>524</v>
      </c>
      <c r="B61" s="9" t="n">
        <v>200</v>
      </c>
      <c r="C61" s="9" t="s">
        <v>329</v>
      </c>
      <c r="D61" s="9" t="n">
        <v>21</v>
      </c>
      <c r="E61" s="9" t="n">
        <v>29.7</v>
      </c>
      <c r="G61" s="14" t="n">
        <v>16000</v>
      </c>
    </row>
    <row r="62">
      <c r="A62" s="8" t="s">
        <v>525</v>
      </c>
      <c r="B62" s="9" t="n">
        <v>15</v>
      </c>
      <c r="C62" s="9" t="s">
        <v>360</v>
      </c>
      <c r="D62" s="9" t="n">
        <v>10</v>
      </c>
      <c r="E62" s="9" t="n">
        <v>15</v>
      </c>
      <c r="G62" s="14" t="n">
        <v>57000</v>
      </c>
    </row>
    <row r="63">
      <c r="A63" s="8" t="s">
        <v>526</v>
      </c>
      <c r="B63" s="9" t="n">
        <v>40</v>
      </c>
      <c r="C63" s="9" t="s">
        <v>338</v>
      </c>
      <c r="D63" s="9" t="n">
        <v>21</v>
      </c>
      <c r="E63" s="9" t="n">
        <v>29.7</v>
      </c>
      <c r="G63" s="14" t="n">
        <v>96000</v>
      </c>
    </row>
    <row r="64">
      <c r="A64" s="8" t="s">
        <v>527</v>
      </c>
      <c r="B64" s="9" t="n">
        <v>200</v>
      </c>
      <c r="C64" s="9" t="s">
        <v>323</v>
      </c>
      <c r="D64" s="9" t="n">
        <v>23.5</v>
      </c>
      <c r="E64" s="9" t="n">
        <v>12</v>
      </c>
      <c r="G64" s="14" t="n">
        <v>50000</v>
      </c>
    </row>
    <row r="65">
      <c r="A65" s="8" t="s">
        <v>528</v>
      </c>
      <c r="B65" s="9" t="n">
        <v>201</v>
      </c>
      <c r="C65" s="9" t="s">
        <v>323</v>
      </c>
      <c r="D65" s="9" t="n">
        <v>23.5</v>
      </c>
      <c r="E65" s="9" t="n">
        <v>12</v>
      </c>
      <c r="G65" s="14" t="n">
        <v>44200</v>
      </c>
    </row>
    <row r="66">
      <c r="A66" s="8" t="s">
        <v>529</v>
      </c>
      <c r="B66" s="9" t="n">
        <v>20</v>
      </c>
      <c r="C66" s="9" t="s">
        <v>325</v>
      </c>
      <c r="D66" s="9" t="n">
        <v>21</v>
      </c>
      <c r="E66" s="9" t="n">
        <v>29.7</v>
      </c>
      <c r="G66" s="14" t="n">
        <v>52000</v>
      </c>
    </row>
    <row r="67">
      <c r="A67" s="8" t="s">
        <v>530</v>
      </c>
      <c r="B67" s="9" t="n">
        <v>21</v>
      </c>
      <c r="C67" s="9" t="s">
        <v>325</v>
      </c>
      <c r="D67" s="9" t="n">
        <v>21</v>
      </c>
      <c r="E67" s="9" t="n">
        <v>29.7</v>
      </c>
      <c r="G67" s="14" t="n">
        <v>52500</v>
      </c>
    </row>
    <row r="68">
      <c r="A68" s="8" t="s">
        <v>531</v>
      </c>
      <c r="B68" s="9" t="n">
        <v>1</v>
      </c>
      <c r="C68" s="9" t="s">
        <v>342</v>
      </c>
      <c r="D68" s="9" t="n">
        <v>21</v>
      </c>
      <c r="E68" s="9" t="n">
        <v>29.7</v>
      </c>
      <c r="G68" s="14" t="n">
        <v>300</v>
      </c>
    </row>
    <row r="69">
      <c r="A69" s="8" t="s">
        <v>532</v>
      </c>
      <c r="B69" s="9" t="n">
        <v>1</v>
      </c>
      <c r="C69" s="9" t="s">
        <v>350</v>
      </c>
      <c r="D69" s="9" t="n">
        <v>21</v>
      </c>
      <c r="E69" s="9" t="n">
        <v>29.7</v>
      </c>
      <c r="G69" s="14" t="n">
        <v>1000</v>
      </c>
    </row>
    <row r="70">
      <c r="A70" s="8" t="s">
        <v>533</v>
      </c>
      <c r="B70" s="9" t="n">
        <v>1</v>
      </c>
      <c r="C70" s="9" t="s">
        <v>332</v>
      </c>
      <c r="D70" s="9" t="n">
        <v>21</v>
      </c>
      <c r="E70" s="9" t="n">
        <v>29.7</v>
      </c>
      <c r="G70" s="14" t="n">
        <v>100</v>
      </c>
    </row>
    <row r="71">
      <c r="A71" s="8" t="s">
        <v>534</v>
      </c>
      <c r="B71" s="9" t="n">
        <v>1</v>
      </c>
      <c r="C71" s="9" t="s">
        <v>323</v>
      </c>
      <c r="D71" s="9" t="n">
        <v>23.5</v>
      </c>
      <c r="E71" s="9" t="n">
        <v>12</v>
      </c>
      <c r="G71" s="14" t="n">
        <v>300</v>
      </c>
    </row>
    <row r="72">
      <c r="A72" s="8" t="s">
        <v>535</v>
      </c>
      <c r="B72" s="9" t="n">
        <v>12</v>
      </c>
      <c r="C72" s="9" t="s">
        <v>338</v>
      </c>
      <c r="D72" s="9" t="n">
        <v>21</v>
      </c>
      <c r="E72" s="9" t="n">
        <v>29.7</v>
      </c>
      <c r="G72" s="14" t="n">
        <v>28800</v>
      </c>
    </row>
    <row r="73">
      <c r="A73" s="8" t="s">
        <v>536</v>
      </c>
      <c r="B73" s="9" t="n">
        <v>10</v>
      </c>
      <c r="C73" s="9" t="s">
        <v>321</v>
      </c>
      <c r="D73" s="9" t="n">
        <v>15</v>
      </c>
      <c r="E73" s="9" t="n">
        <v>21</v>
      </c>
      <c r="G73" s="14" t="n">
        <v>54000</v>
      </c>
    </row>
    <row r="74">
      <c r="A74" s="8" t="s">
        <v>537</v>
      </c>
      <c r="B74" s="9" t="n">
        <v>50</v>
      </c>
      <c r="C74" s="9" t="s">
        <v>333</v>
      </c>
      <c r="D74" s="9" t="n">
        <v>21</v>
      </c>
      <c r="E74" s="9" t="n">
        <v>29.7</v>
      </c>
      <c r="G74" s="14" t="n">
        <v>4800</v>
      </c>
    </row>
    <row r="75">
      <c r="A75" s="8" t="s">
        <v>538</v>
      </c>
      <c r="B75" s="9" t="n">
        <v>200</v>
      </c>
      <c r="C75" s="9" t="s">
        <v>333</v>
      </c>
      <c r="D75" s="9" t="n">
        <v>21</v>
      </c>
      <c r="E75" s="9" t="n">
        <v>29.7</v>
      </c>
      <c r="G75" s="14" t="n">
        <v>17600</v>
      </c>
    </row>
    <row r="76">
      <c r="A76" s="8" t="s">
        <v>539</v>
      </c>
      <c r="B76" s="9" t="n">
        <v>1500</v>
      </c>
      <c r="C76" s="9" t="s">
        <v>333</v>
      </c>
      <c r="D76" s="9" t="n">
        <v>21</v>
      </c>
      <c r="E76" s="9" t="n">
        <v>29.7</v>
      </c>
      <c r="G76" s="14" t="n">
        <v>126000</v>
      </c>
    </row>
    <row r="77">
      <c r="A77" s="8" t="s">
        <v>540</v>
      </c>
      <c r="B77" s="9" t="n">
        <v>1</v>
      </c>
      <c r="C77" s="9" t="s">
        <v>343</v>
      </c>
      <c r="D77" s="9" t="n">
        <v>21</v>
      </c>
      <c r="E77" s="9" t="n">
        <v>29.7</v>
      </c>
      <c r="G77" s="14" t="n">
        <v>2200</v>
      </c>
    </row>
    <row r="78">
      <c r="A78" s="8" t="s">
        <v>541</v>
      </c>
      <c r="B78" s="9" t="n">
        <v>1</v>
      </c>
      <c r="C78" s="9" t="s">
        <v>347</v>
      </c>
      <c r="D78" s="9" t="n">
        <v>9</v>
      </c>
      <c r="E78" s="9" t="n">
        <v>13</v>
      </c>
      <c r="G78" s="14" t="n">
        <v>1500</v>
      </c>
    </row>
    <row r="79">
      <c r="A79" s="8" t="s">
        <v>542</v>
      </c>
      <c r="B79" s="9" t="n">
        <v>1</v>
      </c>
      <c r="C79" s="9" t="s">
        <v>348</v>
      </c>
      <c r="D79" s="9" t="n">
        <v>5</v>
      </c>
      <c r="E79" s="9" t="n">
        <v>8</v>
      </c>
      <c r="G79" s="14" t="n">
        <v>800</v>
      </c>
    </row>
    <row r="80">
      <c r="A80" s="8" t="s">
        <v>543</v>
      </c>
      <c r="B80" s="9" t="n">
        <v>10</v>
      </c>
      <c r="C80" s="9" t="s">
        <v>346</v>
      </c>
      <c r="D80" s="9" t="n">
        <v>29.7</v>
      </c>
      <c r="E80" s="9" t="n">
        <v>42</v>
      </c>
      <c r="G80" s="14" t="n">
        <v>30000</v>
      </c>
    </row>
    <row r="81">
      <c r="A81" s="8" t="s">
        <v>580</v>
      </c>
      <c r="B81" s="9" t="s">
        <v>581</v>
      </c>
      <c r="C81" s="9" t="s">
        <v>546</v>
      </c>
      <c r="D81" s="9" t="s">
        <v>557</v>
      </c>
      <c r="E81" s="9" t="s">
        <v>557</v>
      </c>
      <c r="G81" s="14" t="s">
        <v>582</v>
      </c>
    </row>
    <row r="82">
      <c r="A82" s="8" t="s">
        <v>583</v>
      </c>
      <c r="B82" s="9" t="s">
        <v>581</v>
      </c>
      <c r="C82" s="9" t="s">
        <v>546</v>
      </c>
      <c r="D82" s="9" t="s">
        <v>561</v>
      </c>
      <c r="E82" s="9" t="s">
        <v>561</v>
      </c>
      <c r="G82" s="14" t="s">
        <v>584</v>
      </c>
    </row>
    <row r="83">
      <c r="A83" s="8" t="s">
        <v>585</v>
      </c>
      <c r="B83" s="9" t="s">
        <v>581</v>
      </c>
      <c r="C83" s="9" t="s">
        <v>548</v>
      </c>
      <c r="D83" s="9" t="s">
        <v>561</v>
      </c>
      <c r="E83" s="9" t="s">
        <v>562</v>
      </c>
      <c r="G83" s="14" t="s">
        <v>586</v>
      </c>
    </row>
    <row r="84">
      <c r="A84" s="8" t="s">
        <v>587</v>
      </c>
      <c r="B84" s="9" t="s">
        <v>581</v>
      </c>
      <c r="C84" s="9" t="s">
        <v>548</v>
      </c>
      <c r="D84" s="9" t="s">
        <v>557</v>
      </c>
      <c r="E84" s="9" t="s">
        <v>588</v>
      </c>
      <c r="G84" s="14" t="s">
        <v>589</v>
      </c>
    </row>
    <row r="85">
      <c r="A85" s="8" t="s">
        <v>590</v>
      </c>
      <c r="B85" s="9" t="s">
        <v>581</v>
      </c>
      <c r="C85" s="9" t="s">
        <v>549</v>
      </c>
      <c r="D85" s="9" t="s">
        <v>566</v>
      </c>
      <c r="E85" s="9" t="s">
        <v>567</v>
      </c>
      <c r="G85" s="14" t="s">
        <v>591</v>
      </c>
    </row>
    <row r="86">
      <c r="A86" s="8" t="s">
        <v>592</v>
      </c>
      <c r="B86" s="9" t="s">
        <v>545</v>
      </c>
      <c r="C86" s="9" t="s">
        <v>549</v>
      </c>
      <c r="D86" s="9" t="s">
        <v>566</v>
      </c>
      <c r="E86" s="9" t="s">
        <v>567</v>
      </c>
      <c r="G86" s="14" t="s">
        <v>593</v>
      </c>
    </row>
    <row r="87">
      <c r="A87" s="8" t="s">
        <v>594</v>
      </c>
      <c r="B87" s="9" t="s">
        <v>595</v>
      </c>
      <c r="C87" s="9" t="s">
        <v>550</v>
      </c>
      <c r="G87" s="14" t="s">
        <v>596</v>
      </c>
    </row>
    <row r="88">
      <c r="A88" s="8" t="s">
        <v>597</v>
      </c>
      <c r="B88" s="9" t="s">
        <v>581</v>
      </c>
      <c r="C88" s="9" t="s">
        <v>550</v>
      </c>
      <c r="G88" s="14" t="s">
        <v>598</v>
      </c>
    </row>
    <row r="89">
      <c r="A89" s="8" t="s">
        <v>599</v>
      </c>
      <c r="B89" s="9" t="s">
        <v>581</v>
      </c>
      <c r="C89" s="9" t="s">
        <v>552</v>
      </c>
      <c r="G89" s="14" t="s">
        <v>591</v>
      </c>
    </row>
    <row r="90">
      <c r="A90" s="8" t="s">
        <v>600</v>
      </c>
      <c r="B90" s="9" t="s">
        <v>601</v>
      </c>
      <c r="C90" s="9" t="s">
        <v>552</v>
      </c>
      <c r="G90" s="14" t="s">
        <v>593</v>
      </c>
    </row>
    <row r="91">
      <c r="A91" s="8" t="s">
        <v>602</v>
      </c>
      <c r="B91" s="9" t="s">
        <v>588</v>
      </c>
      <c r="C91" s="9" t="s">
        <v>552</v>
      </c>
      <c r="G91" s="14" t="s">
        <v>603</v>
      </c>
    </row>
    <row r="92">
      <c r="A92" s="8" t="s">
        <v>604</v>
      </c>
      <c r="B92" s="9" t="s">
        <v>581</v>
      </c>
      <c r="C92" s="9" t="s">
        <v>553</v>
      </c>
      <c r="G92" s="14" t="s">
        <v>605</v>
      </c>
    </row>
    <row r="93">
      <c r="A93" s="8" t="s">
        <v>606</v>
      </c>
      <c r="B93" s="9" t="s">
        <v>581</v>
      </c>
      <c r="C93" s="9" t="s">
        <v>554</v>
      </c>
      <c r="G93" s="14" t="s">
        <v>607</v>
      </c>
    </row>
    <row r="94">
      <c r="A94" s="8" t="s">
        <v>608</v>
      </c>
      <c r="B94" s="9" t="s">
        <v>609</v>
      </c>
      <c r="C94" s="9" t="s">
        <v>554</v>
      </c>
      <c r="G94" s="14" t="s">
        <v>610</v>
      </c>
    </row>
    <row r="95">
      <c r="A95" s="8" t="s">
        <v>613</v>
      </c>
      <c r="B95" s="9" t="n">
        <v>100</v>
      </c>
      <c r="C95" s="9" t="s">
        <v>168</v>
      </c>
      <c r="D95" s="9" t="n">
        <v>8</v>
      </c>
      <c r="E95" s="9" t="n">
        <v>8</v>
      </c>
      <c r="F95" s="9" t="n">
        <v>15</v>
      </c>
      <c r="G95" s="14" t="n">
        <v>16800</v>
      </c>
    </row>
    <row r="96">
      <c r="A96" s="8" t="s">
        <v>614</v>
      </c>
      <c r="B96" s="9" t="n">
        <v>100</v>
      </c>
      <c r="C96" s="9" t="s">
        <v>169</v>
      </c>
      <c r="D96" s="9" t="n">
        <v>8</v>
      </c>
      <c r="E96" s="9" t="n">
        <v>8</v>
      </c>
      <c r="F96" s="9" t="n">
        <v>15</v>
      </c>
      <c r="G96" s="14" t="n">
        <v>18200</v>
      </c>
    </row>
    <row r="97">
      <c r="A97" s="8" t="s">
        <v>615</v>
      </c>
      <c r="B97" s="9" t="n">
        <v>1</v>
      </c>
      <c r="C97" s="9" t="s">
        <v>171</v>
      </c>
      <c r="D97" s="9" t="n">
        <v>60</v>
      </c>
      <c r="E97" s="9" t="n">
        <v>80</v>
      </c>
      <c r="G97" s="14" t="n">
        <v>13000</v>
      </c>
    </row>
    <row r="98">
      <c r="A98" s="8" t="s">
        <v>616</v>
      </c>
      <c r="B98" s="9" t="n">
        <v>100</v>
      </c>
      <c r="C98" s="9" t="s">
        <v>297</v>
      </c>
      <c r="D98" s="9" t="n">
        <v>9</v>
      </c>
      <c r="E98" s="9" t="n">
        <v>5</v>
      </c>
      <c r="G98" s="14" t="n">
        <v>16500</v>
      </c>
    </row>
    <row r="99">
      <c r="A99" s="8" t="s">
        <v>617</v>
      </c>
      <c r="B99" s="9" t="n">
        <v>100</v>
      </c>
      <c r="C99" s="9" t="s">
        <v>299</v>
      </c>
      <c r="D99" s="9" t="n">
        <v>9</v>
      </c>
      <c r="E99" s="9" t="n">
        <v>5</v>
      </c>
      <c r="G99" s="14" t="n">
        <v>16500</v>
      </c>
    </row>
    <row r="100">
      <c r="A100" s="8" t="s">
        <v>618</v>
      </c>
      <c r="B100" s="9" t="n">
        <v>100</v>
      </c>
      <c r="C100" s="9" t="s">
        <v>301</v>
      </c>
      <c r="D100" s="9" t="n">
        <v>9</v>
      </c>
      <c r="E100" s="9" t="n">
        <v>5</v>
      </c>
      <c r="G100" s="14" t="n">
        <v>18700</v>
      </c>
    </row>
    <row r="101">
      <c r="A101" s="8" t="s">
        <v>619</v>
      </c>
      <c r="B101" s="9" t="n">
        <v>100</v>
      </c>
      <c r="C101" s="9" t="s">
        <v>303</v>
      </c>
      <c r="D101" s="9" t="n">
        <v>9</v>
      </c>
      <c r="E101" s="9" t="n">
        <v>5</v>
      </c>
      <c r="G101" s="14" t="n">
        <v>17600</v>
      </c>
    </row>
    <row r="102">
      <c r="A102" s="8" t="s">
        <v>620</v>
      </c>
      <c r="B102" s="9" t="n">
        <v>100</v>
      </c>
      <c r="C102" s="9" t="s">
        <v>305</v>
      </c>
      <c r="D102" s="9" t="n">
        <v>9</v>
      </c>
      <c r="E102" s="9" t="n">
        <v>5</v>
      </c>
      <c r="G102" s="14" t="n">
        <v>24200</v>
      </c>
    </row>
    <row r="103">
      <c r="A103" s="8" t="s">
        <v>621</v>
      </c>
      <c r="B103" s="9" t="n">
        <v>500</v>
      </c>
      <c r="C103" s="9" t="s">
        <v>307</v>
      </c>
      <c r="D103" s="9" t="n">
        <v>9</v>
      </c>
      <c r="E103" s="9" t="n">
        <v>5</v>
      </c>
      <c r="G103" s="14" t="n">
        <v>28000</v>
      </c>
    </row>
    <row r="104">
      <c r="A104" s="8" t="s">
        <v>622</v>
      </c>
      <c r="B104" s="9" t="n">
        <v>500</v>
      </c>
      <c r="C104" s="9" t="s">
        <v>309</v>
      </c>
      <c r="D104" s="9" t="n">
        <v>9</v>
      </c>
      <c r="E104" s="9" t="n">
        <v>5</v>
      </c>
      <c r="G104" s="14" t="n">
        <v>38000</v>
      </c>
    </row>
    <row r="105">
      <c r="A105" s="8" t="s">
        <v>623</v>
      </c>
      <c r="B105" s="9" t="n">
        <v>500</v>
      </c>
      <c r="C105" s="9" t="s">
        <v>311</v>
      </c>
      <c r="D105" s="9" t="n">
        <v>9</v>
      </c>
      <c r="E105" s="9" t="n">
        <v>5</v>
      </c>
      <c r="G105" s="14" t="n">
        <v>45000</v>
      </c>
    </row>
    <row r="106">
      <c r="A106" s="8" t="s">
        <v>624</v>
      </c>
      <c r="B106" s="9" t="n">
        <v>1000</v>
      </c>
      <c r="C106" s="9" t="s">
        <v>312</v>
      </c>
      <c r="D106" s="9" t="n">
        <v>9</v>
      </c>
      <c r="E106" s="9" t="n">
        <v>5</v>
      </c>
      <c r="G106" s="14" t="n">
        <v>42000</v>
      </c>
    </row>
    <row r="107">
      <c r="A107" s="8" t="s">
        <v>625</v>
      </c>
      <c r="B107" s="9" t="n">
        <v>1000</v>
      </c>
      <c r="C107" s="9" t="s">
        <v>315</v>
      </c>
      <c r="D107" s="9" t="n">
        <v>9</v>
      </c>
      <c r="E107" s="9" t="n">
        <v>5</v>
      </c>
      <c r="G107" s="14" t="n">
        <v>54000</v>
      </c>
    </row>
    <row r="108">
      <c r="A108" s="8" t="s">
        <v>626</v>
      </c>
      <c r="B108" s="9" t="n">
        <v>1000</v>
      </c>
      <c r="C108" s="9" t="s">
        <v>316</v>
      </c>
      <c r="D108" s="9" t="n">
        <v>9</v>
      </c>
      <c r="E108" s="9" t="n">
        <v>5</v>
      </c>
      <c r="G108" s="14" t="n">
        <v>59000</v>
      </c>
    </row>
    <row r="109">
      <c r="A109" s="8" t="s">
        <v>627</v>
      </c>
      <c r="B109" s="9" t="n">
        <v>100</v>
      </c>
      <c r="C109" s="9" t="s">
        <v>319</v>
      </c>
      <c r="D109" s="9" t="n">
        <v>21</v>
      </c>
      <c r="E109" s="9" t="n">
        <v>11</v>
      </c>
      <c r="G109" s="14" t="n">
        <v>25000</v>
      </c>
    </row>
    <row r="110">
      <c r="A110" s="8" t="s">
        <v>628</v>
      </c>
      <c r="B110" s="9" t="n">
        <v>500</v>
      </c>
      <c r="C110" s="9" t="s">
        <v>352</v>
      </c>
      <c r="G110" s="14" t="n">
        <v>4000</v>
      </c>
    </row>
    <row r="111">
      <c r="A111" s="8" t="s">
        <v>629</v>
      </c>
      <c r="B111" s="9" t="n">
        <v>5</v>
      </c>
      <c r="C111" s="9" t="s">
        <v>327</v>
      </c>
      <c r="G111" s="14" t="n">
        <v>20000</v>
      </c>
    </row>
    <row r="112">
      <c r="A112" s="8" t="s">
        <v>630</v>
      </c>
      <c r="B112" s="9" t="n">
        <v>5</v>
      </c>
      <c r="C112" s="9" t="s">
        <v>328</v>
      </c>
      <c r="G112" s="14" t="n">
        <v>22500</v>
      </c>
    </row>
    <row r="113">
      <c r="A113" s="8" t="s">
        <v>631</v>
      </c>
      <c r="B113" s="9" t="n">
        <v>50</v>
      </c>
      <c r="C113" s="9" t="s">
        <v>331</v>
      </c>
      <c r="D113" s="9" t="n">
        <v>21</v>
      </c>
      <c r="E113" s="9" t="n">
        <v>29.7</v>
      </c>
      <c r="G113" s="14" t="n">
        <v>30000</v>
      </c>
    </row>
    <row r="114">
      <c r="A114" s="8" t="s">
        <v>632</v>
      </c>
      <c r="B114" s="9" t="n">
        <v>10</v>
      </c>
      <c r="C114" s="9" t="s">
        <v>334</v>
      </c>
      <c r="D114" s="9" t="n">
        <v>29.7</v>
      </c>
      <c r="E114" s="9" t="n">
        <v>42</v>
      </c>
      <c r="G114" s="14" t="n">
        <v>12000</v>
      </c>
    </row>
    <row r="115">
      <c r="A115" s="8" t="s">
        <v>633</v>
      </c>
      <c r="B115" s="9" t="n">
        <v>5</v>
      </c>
      <c r="C115" s="9" t="s">
        <v>335</v>
      </c>
      <c r="D115" s="9" t="n">
        <v>29.7</v>
      </c>
      <c r="E115" s="9" t="n">
        <v>42</v>
      </c>
      <c r="G115" s="14" t="n">
        <v>3000</v>
      </c>
    </row>
    <row r="116">
      <c r="A116" s="8" t="s">
        <v>634</v>
      </c>
      <c r="B116" s="9" t="n">
        <v>20</v>
      </c>
      <c r="C116" s="9" t="s">
        <v>336</v>
      </c>
      <c r="D116" s="9" t="n">
        <v>21</v>
      </c>
      <c r="E116" s="9" t="n">
        <v>29.7</v>
      </c>
      <c r="G116" s="14" t="n">
        <v>16000</v>
      </c>
    </row>
    <row r="117">
      <c r="A117" s="8" t="s">
        <v>635</v>
      </c>
      <c r="B117" s="9" t="n">
        <v>15</v>
      </c>
      <c r="C117" s="9" t="s">
        <v>337</v>
      </c>
      <c r="D117" s="9" t="n">
        <v>21</v>
      </c>
      <c r="E117" s="9" t="n">
        <v>29.7</v>
      </c>
      <c r="G117" s="14" t="n">
        <v>13500</v>
      </c>
    </row>
    <row r="118">
      <c r="A118" s="8" t="s">
        <v>636</v>
      </c>
      <c r="B118" s="9" t="n">
        <v>5</v>
      </c>
      <c r="C118" s="9" t="s">
        <v>339</v>
      </c>
      <c r="D118" s="9" t="n">
        <v>21</v>
      </c>
      <c r="E118" s="9" t="n">
        <v>29.7</v>
      </c>
      <c r="G118" s="14" t="n">
        <v>16000</v>
      </c>
    </row>
    <row r="119">
      <c r="A119" s="8" t="s">
        <v>637</v>
      </c>
      <c r="B119" s="9" t="n">
        <v>10</v>
      </c>
      <c r="C119" s="9" t="s">
        <v>340</v>
      </c>
      <c r="D119" s="9" t="n">
        <v>21</v>
      </c>
      <c r="E119" s="9" t="n">
        <v>29.7</v>
      </c>
      <c r="G119" s="14" t="n">
        <v>20000</v>
      </c>
    </row>
    <row r="120">
      <c r="A120" s="8" t="s">
        <v>638</v>
      </c>
      <c r="B120" s="9" t="n">
        <v>3</v>
      </c>
      <c r="C120" s="9" t="s">
        <v>341</v>
      </c>
      <c r="D120" s="9" t="n">
        <v>21</v>
      </c>
      <c r="E120" s="9" t="n">
        <v>29.7</v>
      </c>
      <c r="G120" s="14" t="n">
        <v>15000</v>
      </c>
    </row>
    <row r="121">
      <c r="A121" s="8" t="s">
        <v>639</v>
      </c>
      <c r="B121" s="9" t="n">
        <v>1</v>
      </c>
      <c r="C121" s="9" t="s">
        <v>345</v>
      </c>
      <c r="D121" s="9" t="n">
        <v>22</v>
      </c>
      <c r="E121" s="9" t="n">
        <v>33</v>
      </c>
      <c r="G121" s="14" t="n">
        <v>2400</v>
      </c>
    </row>
    <row r="122">
      <c r="A122" s="8" t="s">
        <v>640</v>
      </c>
      <c r="B122" s="9" t="n">
        <v>20</v>
      </c>
      <c r="C122" s="9" t="s">
        <v>349</v>
      </c>
      <c r="G122" s="14" t="n">
        <v>1000</v>
      </c>
    </row>
    <row r="123">
      <c r="A123" s="8" t="s">
        <v>641</v>
      </c>
      <c r="B123" s="9" t="n">
        <v>20</v>
      </c>
      <c r="C123" s="9" t="s">
        <v>351</v>
      </c>
      <c r="G123" s="14" t="n">
        <v>100000</v>
      </c>
    </row>
    <row r="124">
      <c r="A124" s="8" t="s">
        <v>642</v>
      </c>
      <c r="B124" s="9" t="n">
        <v>1</v>
      </c>
      <c r="C124" s="9" t="s">
        <v>356</v>
      </c>
      <c r="G124" s="14" t="n">
        <v>30000</v>
      </c>
    </row>
    <row r="125">
      <c r="A125" s="8" t="s">
        <v>643</v>
      </c>
      <c r="B125" s="9" t="n">
        <v>1</v>
      </c>
      <c r="C125" s="9" t="s">
        <v>357</v>
      </c>
      <c r="G125" s="14" t="n">
        <v>99000</v>
      </c>
    </row>
    <row r="126">
      <c r="A126" s="8" t="s">
        <v>644</v>
      </c>
      <c r="B126" s="9" t="n">
        <v>5</v>
      </c>
      <c r="C126" s="9" t="s">
        <v>359</v>
      </c>
      <c r="D126" s="9" t="n">
        <v>10</v>
      </c>
      <c r="E126" s="9" t="n">
        <v>15</v>
      </c>
      <c r="G126" s="14" t="n">
        <v>20000</v>
      </c>
    </row>
    <row r="127">
      <c r="A127" s="8" t="s">
        <v>645</v>
      </c>
      <c r="B127" s="9" t="n">
        <v>2</v>
      </c>
      <c r="C127" s="9" t="s">
        <v>361</v>
      </c>
      <c r="D127" s="9" t="n">
        <v>29.7</v>
      </c>
      <c r="E127" s="9" t="n">
        <v>42</v>
      </c>
      <c r="G127" s="14" t="n">
        <v>3200</v>
      </c>
    </row>
    <row r="128">
      <c r="A128" s="8" t="s">
        <v>646</v>
      </c>
      <c r="B128" s="9" t="n">
        <v>1</v>
      </c>
      <c r="C128" s="9" t="s">
        <v>363</v>
      </c>
      <c r="D128" s="9" t="n">
        <v>90</v>
      </c>
      <c r="E128" s="9" t="n">
        <v>190</v>
      </c>
      <c r="G128" s="14" t="n">
        <v>32000</v>
      </c>
    </row>
    <row r="129">
      <c r="A129" s="8" t="s">
        <v>647</v>
      </c>
      <c r="B129" s="9" t="n">
        <v>1</v>
      </c>
      <c r="C129" s="9" t="s">
        <v>364</v>
      </c>
      <c r="D129" s="9" t="n">
        <v>29.7</v>
      </c>
      <c r="E129" s="9" t="n">
        <v>42</v>
      </c>
      <c r="G129" s="14" t="n">
        <v>10500</v>
      </c>
    </row>
    <row r="130">
      <c r="A130" s="8" t="s">
        <v>648</v>
      </c>
      <c r="B130" s="9" t="n">
        <v>4</v>
      </c>
      <c r="C130" s="9" t="s">
        <v>365</v>
      </c>
      <c r="D130" s="9" t="n">
        <v>21</v>
      </c>
      <c r="E130" s="9" t="n">
        <v>29.7</v>
      </c>
      <c r="G130" s="14" t="n">
        <v>10400</v>
      </c>
    </row>
    <row r="131">
      <c r="A131" s="8" t="s">
        <v>649</v>
      </c>
      <c r="B131" s="9" t="n">
        <v>1</v>
      </c>
      <c r="C131" s="9" t="s">
        <v>366</v>
      </c>
      <c r="D131" s="9" t="n">
        <v>29.7</v>
      </c>
      <c r="E131" s="9" t="n">
        <v>42</v>
      </c>
      <c r="G131" s="14" t="n">
        <v>4800</v>
      </c>
    </row>
    <row r="132">
      <c r="A132" s="8" t="s">
        <v>651</v>
      </c>
      <c r="B132" s="9" t="n">
        <v>2.45</v>
      </c>
      <c r="C132" s="9" t="s">
        <v>550</v>
      </c>
      <c r="G132" s="14" t="n">
        <v>19600</v>
      </c>
    </row>
    <row r="133">
      <c r="A133" s="8" t="s">
        <v>652</v>
      </c>
      <c r="B133" s="9" t="n">
        <v>0.5</v>
      </c>
      <c r="C133" s="9" t="s">
        <v>550</v>
      </c>
      <c r="G133" s="14" t="n">
        <v>4000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>
        <f t="array" ref="A2">IFERROR(INDEX(Materiales!$A$2:$A$300,MATCH(0,COUNTIF($A$1:A1,Materiales!$A$2:$A$300)+IF(Materiales!$A$2:$A$300="",1,0),0)),"")</f>
      </c>
      <c r="B2" s="8">
        <f t="array" ref="B2">IFERROR(INDEX(Colecciones!$A$2:$A$300,MATCH(0,COUNTIF($B$1:B1,Colecciones!$A$2:$A$300)+IF(Colecciones!$A$2:$A$300="",1,0),0)),"")</f>
      </c>
    </row>
    <row r="3" customFormat="false" ht="12.8" hidden="false" customHeight="false" outlineLevel="0" collapsed="false">
      <c r="A3" s="8">
        <f t="array" ref="A3">IFERROR(INDEX(Materiales!$A$2:$A$300,MATCH(0,COUNTIF($A$1:A2,Materiales!$A$2:$A$300)+IF(Materiales!$A$2:$A$300="",1,0),0)),"")</f>
      </c>
      <c r="B3" s="8">
        <f t="array" ref="B3">IFERROR(INDEX(Colecciones!$A$2:$A$300,MATCH(0,COUNTIF($B$1:B2,Colecciones!$A$2:$A$300)+IF(Colecciones!$A$2:$A$300="",1,0),0)),"")</f>
      </c>
    </row>
    <row r="4" customFormat="false" ht="12.8" hidden="false" customHeight="false" outlineLevel="0" collapsed="false">
      <c r="A4" s="8">
        <f t="array" ref="A4">IFERROR(INDEX(Materiales!$A$2:$A$300,MATCH(0,COUNTIF($A$1:A3,Materiales!$A$2:$A$300)+IF(Materiales!$A$2:$A$300="",1,0),0)),"")</f>
      </c>
      <c r="B4" s="8">
        <f t="array" ref="B4">IFERROR(INDEX(Colecciones!$A$2:$A$300,MATCH(0,COUNTIF($B$1:B3,Colecciones!$A$2:$A$300)+IF(Colecciones!$A$2:$A$300="",1,0),0)),"")</f>
      </c>
    </row>
    <row r="5" customFormat="false" ht="12.8" hidden="false" customHeight="false" outlineLevel="0" collapsed="false">
      <c r="A5" s="8">
        <f t="array" ref="A5">IFERROR(INDEX(Materiales!$A$2:$A$300,MATCH(0,COUNTIF($A$1:A4,Materiales!$A$2:$A$300)+IF(Materiales!$A$2:$A$300="",1,0),0)),"")</f>
      </c>
      <c r="B5" s="8">
        <f t="array" ref="B5">IFERROR(INDEX(Colecciones!$A$2:$A$300,MATCH(0,COUNTIF($B$1:B4,Colecciones!$A$2:$A$300)+IF(Colecciones!$A$2:$A$300="",1,0),0)),"")</f>
      </c>
    </row>
    <row r="6" customFormat="false" ht="12.8" hidden="false" customHeight="false" outlineLevel="0" collapsed="false">
      <c r="A6" s="8">
        <f t="array" ref="A6">IFERROR(INDEX(Materiales!$A$2:$A$300,MATCH(0,COUNTIF($A$1:A5,Materiales!$A$2:$A$300)+IF(Materiales!$A$2:$A$300="",1,0),0)),"")</f>
      </c>
      <c r="B6" s="8">
        <f t="array" ref="B6">IFERROR(INDEX(Colecciones!$A$2:$A$300,MATCH(0,COUNTIF($B$1:B5,Colecciones!$A$2:$A$300)+IF(Colecciones!$A$2:$A$300="",1,0),0)),"")</f>
      </c>
    </row>
    <row r="7" customFormat="false" ht="12.8" hidden="false" customHeight="false" outlineLevel="0" collapsed="false">
      <c r="A7" s="8">
        <f t="array" ref="A7">IFERROR(INDEX(Materiales!$A$2:$A$300,MATCH(0,COUNTIF($A$1:A6,Materiales!$A$2:$A$300)+IF(Materiales!$A$2:$A$300="",1,0),0)),"")</f>
      </c>
      <c r="B7" s="8">
        <f t="array" ref="B7">IFERROR(INDEX(Colecciones!$A$2:$A$300,MATCH(0,COUNTIF($B$1:B6,Colecciones!$A$2:$A$300)+IF(Colecciones!$A$2:$A$300="",1,0),0)),"")</f>
      </c>
    </row>
    <row r="8" customFormat="false" ht="12.8" hidden="false" customHeight="false" outlineLevel="0" collapsed="false">
      <c r="A8" s="8">
        <f t="array" ref="A8">IFERROR(INDEX(Materiales!$A$2:$A$300,MATCH(0,COUNTIF($A$1:A7,Materiales!$A$2:$A$300)+IF(Materiales!$A$2:$A$300="",1,0),0)),"")</f>
      </c>
      <c r="B8" s="8">
        <f t="array" ref="B8">IFERROR(INDEX(Colecciones!$A$2:$A$300,MATCH(0,COUNTIF($B$1:B7,Colecciones!$A$2:$A$300)+IF(Colecciones!$A$2:$A$300="",1,0),0)),"")</f>
      </c>
    </row>
    <row r="9" customFormat="false" ht="12.8" hidden="false" customHeight="false" outlineLevel="0" collapsed="false">
      <c r="A9" s="8">
        <f t="array" ref="A9">IFERROR(INDEX(Materiales!$A$2:$A$300,MATCH(0,COUNTIF($A$1:A8,Materiales!$A$2:$A$300)+IF(Materiales!$A$2:$A$300="",1,0),0)),"")</f>
      </c>
      <c r="B9" s="8">
        <f t="array" ref="B9">IFERROR(INDEX(Colecciones!$A$2:$A$300,MATCH(0,COUNTIF($B$1:B8,Colecciones!$A$2:$A$300)+IF(Colecciones!$A$2:$A$300="",1,0),0)),"")</f>
      </c>
    </row>
    <row r="10" customFormat="false" ht="12.8" hidden="false" customHeight="false" outlineLevel="0" collapsed="false">
      <c r="A10" s="8">
        <f t="array" ref="A10">IFERROR(INDEX(Materiales!$A$2:$A$300,MATCH(0,COUNTIF($A$1:A9,Materiales!$A$2:$A$300)+IF(Materiales!$A$2:$A$300="",1,0),0)),"")</f>
      </c>
      <c r="B10" s="8">
        <f t="array" ref="B10">IFERROR(INDEX(Colecciones!$A$2:$A$300,MATCH(0,COUNTIF($B$1:B9,Colecciones!$A$2:$A$300)+IF(Colecciones!$A$2:$A$300="",1,0),0)),"")</f>
      </c>
    </row>
    <row r="11" customFormat="false" ht="12.8" hidden="false" customHeight="false" outlineLevel="0" collapsed="false">
      <c r="A11" s="8">
        <f t="array" ref="A11">IFERROR(INDEX(Materiales!$A$2:$A$300,MATCH(0,COUNTIF($A$1:A10,Materiales!$A$2:$A$300)+IF(Materiales!$A$2:$A$300="",1,0),0)),"")</f>
      </c>
      <c r="B11" s="8">
        <f t="array" ref="B11">IFERROR(INDEX(Colecciones!$A$2:$A$300,MATCH(0,COUNTIF($B$1:B10,Colecciones!$A$2:$A$300)+IF(Colecciones!$A$2:$A$300="",1,0),0)),"")</f>
      </c>
    </row>
    <row r="12" customFormat="false" ht="12.8" hidden="false" customHeight="false" outlineLevel="0" collapsed="false">
      <c r="A12" s="8">
        <f t="array" ref="A12">IFERROR(INDEX(Materiales!$A$2:$A$300,MATCH(0,COUNTIF($A$1:A11,Materiales!$A$2:$A$300)+IF(Materiales!$A$2:$A$300="",1,0),0)),"")</f>
      </c>
      <c r="B12" s="8">
        <f t="array" ref="B12">IFERROR(INDEX(Colecciones!$A$2:$A$300,MATCH(0,COUNTIF($B$1:B11,Colecciones!$A$2:$A$300)+IF(Colecciones!$A$2:$A$300="",1,0),0)),"")</f>
      </c>
    </row>
    <row r="13" customFormat="false" ht="12.8" hidden="false" customHeight="false" outlineLevel="0" collapsed="false">
      <c r="A13" s="8">
        <f t="array" ref="A13">IFERROR(INDEX(Materiales!$A$2:$A$300,MATCH(0,COUNTIF($A$1:A12,Materiales!$A$2:$A$300)+IF(Materiales!$A$2:$A$300="",1,0),0)),"")</f>
      </c>
      <c r="B13" s="8">
        <f t="array" ref="B13">IFERROR(INDEX(Colecciones!$A$2:$A$300,MATCH(0,COUNTIF($B$1:B12,Colecciones!$A$2:$A$300)+IF(Colecciones!$A$2:$A$300="",1,0),0)),"")</f>
      </c>
    </row>
    <row r="14" customFormat="false" ht="12.8" hidden="false" customHeight="false" outlineLevel="0" collapsed="false">
      <c r="A14" s="8">
        <f t="array" ref="A14">IFERROR(INDEX(Materiales!$A$2:$A$300,MATCH(0,COUNTIF($A$1:A13,Materiales!$A$2:$A$300)+IF(Materiales!$A$2:$A$300="",1,0),0)),"")</f>
      </c>
      <c r="B14" s="8">
        <f t="array" ref="B14">IFERROR(INDEX(Colecciones!$A$2:$A$300,MATCH(0,COUNTIF($B$1:B13,Colecciones!$A$2:$A$300)+IF(Colecciones!$A$2:$A$300="",1,0),0)),"")</f>
      </c>
    </row>
    <row r="15" customFormat="false" ht="12.8" hidden="false" customHeight="false" outlineLevel="0" collapsed="false">
      <c r="A15" s="8">
        <f t="array" ref="A15">IFERROR(INDEX(Materiales!$A$2:$A$300,MATCH(0,COUNTIF($A$1:A14,Materiales!$A$2:$A$300)+IF(Materiales!$A$2:$A$300="",1,0),0)),"")</f>
      </c>
      <c r="B15" s="8">
        <f t="array" ref="B15">IFERROR(INDEX(Colecciones!$A$2:$A$300,MATCH(0,COUNTIF($B$1:B14,Colecciones!$A$2:$A$300)+IF(Colecciones!$A$2:$A$300="",1,0),0)),"")</f>
      </c>
    </row>
    <row r="16" customFormat="false" ht="12.8" hidden="false" customHeight="false" outlineLevel="0" collapsed="false">
      <c r="A16" s="8">
        <f t="array" ref="A16">IFERROR(INDEX(Materiales!$A$2:$A$300,MATCH(0,COUNTIF($A$1:A15,Materiales!$A$2:$A$300)+IF(Materiales!$A$2:$A$300="",1,0),0)),"")</f>
      </c>
      <c r="B16" s="8">
        <f t="array" ref="B16">IFERROR(INDEX(Colecciones!$A$2:$A$300,MATCH(0,COUNTIF($B$1:B15,Colecciones!$A$2:$A$300)+IF(Colecciones!$A$2:$A$300="",1,0),0)),"")</f>
      </c>
    </row>
    <row r="17" customFormat="false" ht="12.8" hidden="false" customHeight="false" outlineLevel="0" collapsed="false">
      <c r="A17" s="8">
        <f t="array" ref="A17">IFERROR(INDEX(Materiales!$A$2:$A$300,MATCH(0,COUNTIF($A$1:A16,Materiales!$A$2:$A$300)+IF(Materiales!$A$2:$A$300="",1,0),0)),"")</f>
      </c>
      <c r="B17" s="8">
        <f t="array" ref="B17">IFERROR(INDEX(Colecciones!$A$2:$A$300,MATCH(0,COUNTIF($B$1:B16,Colecciones!$A$2:$A$300)+IF(Colecciones!$A$2:$A$300="",1,0),0)),"")</f>
      </c>
    </row>
    <row r="18" customFormat="false" ht="12.8" hidden="false" customHeight="false" outlineLevel="0" collapsed="false">
      <c r="A18" s="8">
        <f t="array" ref="A18">IFERROR(INDEX(Materiales!$A$2:$A$300,MATCH(0,COUNTIF($A$1:A17,Materiales!$A$2:$A$300)+IF(Materiales!$A$2:$A$300="",1,0),0)),"")</f>
      </c>
      <c r="B18" s="8">
        <f t="array" ref="B18">IFERROR(INDEX(Colecciones!$A$2:$A$300,MATCH(0,COUNTIF($B$1:B17,Colecciones!$A$2:$A$300)+IF(Colecciones!$A$2:$A$300="",1,0),0)),"")</f>
      </c>
    </row>
    <row r="19" customFormat="false" ht="12.8" hidden="false" customHeight="false" outlineLevel="0" collapsed="false">
      <c r="A19" s="8">
        <f t="array" ref="A19">IFERROR(INDEX(Materiales!$A$2:$A$300,MATCH(0,COUNTIF($A$1:A18,Materiales!$A$2:$A$300)+IF(Materiales!$A$2:$A$300="",1,0),0)),"")</f>
      </c>
      <c r="B19" s="8">
        <f t="array" ref="B19">IFERROR(INDEX(Colecciones!$A$2:$A$300,MATCH(0,COUNTIF($B$1:B18,Colecciones!$A$2:$A$300)+IF(Colecciones!$A$2:$A$300="",1,0),0)),"")</f>
      </c>
    </row>
    <row r="20" customFormat="false" ht="12.8" hidden="false" customHeight="false" outlineLevel="0" collapsed="false">
      <c r="A20" s="8">
        <f t="array" ref="A20">IFERROR(INDEX(Materiales!$A$2:$A$300,MATCH(0,COUNTIF($A$1:A19,Materiales!$A$2:$A$300)+IF(Materiales!$A$2:$A$300="",1,0),0)),"")</f>
      </c>
      <c r="B20" s="8">
        <f t="array" ref="B20">IFERROR(INDEX(Colecciones!$A$2:$A$300,MATCH(0,COUNTIF($B$1:B19,Colecciones!$A$2:$A$300)+IF(Colecciones!$A$2:$A$300="",1,0),0)),"")</f>
      </c>
    </row>
    <row r="21" customFormat="false" ht="12.8" hidden="false" customHeight="false" outlineLevel="0" collapsed="false">
      <c r="A21" s="8">
        <f t="array" ref="A21">IFERROR(INDEX(Materiales!$A$2:$A$300,MATCH(0,COUNTIF($A$1:A20,Materiales!$A$2:$A$300)+IF(Materiales!$A$2:$A$300="",1,0),0)),"")</f>
      </c>
      <c r="B21" s="8">
        <f t="array" ref="B21">IFERROR(INDEX(Colecciones!$A$2:$A$300,MATCH(0,COUNTIF($B$1:B20,Colecciones!$A$2:$A$300)+IF(Colecciones!$A$2:$A$300="",1,0),0)),"")</f>
      </c>
    </row>
    <row r="22" customFormat="false" ht="12.8" hidden="false" customHeight="false" outlineLevel="0" collapsed="false">
      <c r="A22" s="8">
        <f t="array" ref="A22">IFERROR(INDEX(Materiales!$A$2:$A$300,MATCH(0,COUNTIF($A$1:A21,Materiales!$A$2:$A$300)+IF(Materiales!$A$2:$A$300="",1,0),0)),"")</f>
      </c>
      <c r="B22" s="8">
        <f t="array" ref="B22">IFERROR(INDEX(Colecciones!$A$2:$A$300,MATCH(0,COUNTIF($B$1:B21,Colecciones!$A$2:$A$300)+IF(Colecciones!$A$2:$A$300="",1,0),0)),"")</f>
      </c>
    </row>
    <row r="23" customFormat="false" ht="12.8" hidden="false" customHeight="false" outlineLevel="0" collapsed="false">
      <c r="A23" s="8">
        <f t="array" ref="A23">IFERROR(INDEX(Materiales!$A$2:$A$300,MATCH(0,COUNTIF($A$1:A22,Materiales!$A$2:$A$300)+IF(Materiales!$A$2:$A$300="",1,0),0)),"")</f>
      </c>
      <c r="B23" s="8">
        <f t="array" ref="B23">IFERROR(INDEX(Colecciones!$A$2:$A$300,MATCH(0,COUNTIF($B$1:B22,Colecciones!$A$2:$A$300)+IF(Colecciones!$A$2:$A$300="",1,0),0)),"")</f>
      </c>
    </row>
    <row r="24" customFormat="false" ht="12.8" hidden="false" customHeight="false" outlineLevel="0" collapsed="false">
      <c r="A24" s="8">
        <f t="array" ref="A24">IFERROR(INDEX(Materiales!$A$2:$A$300,MATCH(0,COUNTIF($A$1:A23,Materiales!$A$2:$A$300)+IF(Materiales!$A$2:$A$300="",1,0),0)),"")</f>
      </c>
      <c r="B24" s="8">
        <f t="array" ref="B24">IFERROR(INDEX(Colecciones!$A$2:$A$300,MATCH(0,COUNTIF($B$1:B23,Colecciones!$A$2:$A$300)+IF(Colecciones!$A$2:$A$300="",1,0),0)),"")</f>
      </c>
    </row>
    <row r="25" customFormat="false" ht="12.8" hidden="false" customHeight="false" outlineLevel="0" collapsed="false">
      <c r="A25" s="8">
        <f t="array" ref="A25">IFERROR(INDEX(Materiales!$A$2:$A$300,MATCH(0,COUNTIF($A$1:A24,Materiales!$A$2:$A$300)+IF(Materiales!$A$2:$A$300="",1,0),0)),"")</f>
      </c>
      <c r="B25" s="8">
        <f t="array" ref="B25">IFERROR(INDEX(Colecciones!$A$2:$A$300,MATCH(0,COUNTIF($B$1:B24,Colecciones!$A$2:$A$300)+IF(Colecciones!$A$2:$A$300="",1,0),0)),"")</f>
      </c>
    </row>
    <row r="26" customFormat="false" ht="12.8" hidden="false" customHeight="false" outlineLevel="0" collapsed="false">
      <c r="A26" s="8">
        <f t="array" ref="A26">IFERROR(INDEX(Materiales!$A$2:$A$300,MATCH(0,COUNTIF($A$1:A25,Materiales!$A$2:$A$300)+IF(Materiales!$A$2:$A$300="",1,0),0)),"")</f>
      </c>
      <c r="B26" s="8">
        <f t="array" ref="B26">IFERROR(INDEX(Colecciones!$A$2:$A$300,MATCH(0,COUNTIF($B$1:B25,Colecciones!$A$2:$A$300)+IF(Colecciones!$A$2:$A$300="",1,0),0)),"")</f>
      </c>
    </row>
    <row r="27" customFormat="false" ht="12.8" hidden="false" customHeight="false" outlineLevel="0" collapsed="false">
      <c r="A27" s="8">
        <f t="array" ref="A27">IFERROR(INDEX(Materiales!$A$2:$A$300,MATCH(0,COUNTIF($A$1:A26,Materiales!$A$2:$A$300)+IF(Materiales!$A$2:$A$300="",1,0),0)),"")</f>
      </c>
      <c r="B27" s="8">
        <f t="array" ref="B27">IFERROR(INDEX(Colecciones!$A$2:$A$300,MATCH(0,COUNTIF($B$1:B26,Colecciones!$A$2:$A$300)+IF(Colecciones!$A$2:$A$300="",1,0),0)),"")</f>
      </c>
    </row>
    <row r="28" customFormat="false" ht="12.8" hidden="false" customHeight="false" outlineLevel="0" collapsed="false">
      <c r="A28" s="8">
        <f t="array" ref="A28">IFERROR(INDEX(Materiales!$A$2:$A$300,MATCH(0,COUNTIF($A$1:A27,Materiales!$A$2:$A$300)+IF(Materiales!$A$2:$A$300="",1,0),0)),"")</f>
      </c>
      <c r="B28" s="8">
        <f t="array" ref="B28">IFERROR(INDEX(Colecciones!$A$2:$A$300,MATCH(0,COUNTIF($B$1:B27,Colecciones!$A$2:$A$300)+IF(Colecciones!$A$2:$A$300="",1,0),0)),"")</f>
      </c>
    </row>
    <row r="29" customFormat="false" ht="12.8" hidden="false" customHeight="false" outlineLevel="0" collapsed="false">
      <c r="A29" s="8">
        <f t="array" ref="A29">IFERROR(INDEX(Materiales!$A$2:$A$300,MATCH(0,COUNTIF($A$1:A28,Materiales!$A$2:$A$300)+IF(Materiales!$A$2:$A$300="",1,0),0)),"")</f>
      </c>
      <c r="B29" s="8">
        <f t="array" ref="B29">IFERROR(INDEX(Colecciones!$A$2:$A$300,MATCH(0,COUNTIF($B$1:B28,Colecciones!$A$2:$A$300)+IF(Colecciones!$A$2:$A$300="",1,0),0)),"")</f>
      </c>
    </row>
    <row r="30" customFormat="false" ht="12.8" hidden="false" customHeight="false" outlineLevel="0" collapsed="false">
      <c r="A30" s="8">
        <f t="array" ref="A30">IFERROR(INDEX(Materiales!$A$2:$A$300,MATCH(0,COUNTIF($A$1:A29,Materiales!$A$2:$A$300)+IF(Materiales!$A$2:$A$300="",1,0),0)),"")</f>
      </c>
      <c r="B30" s="8">
        <f t="array" ref="B30">IFERROR(INDEX(Colecciones!$A$2:$A$300,MATCH(0,COUNTIF($B$1:B29,Colecciones!$A$2:$A$300)+IF(Colecciones!$A$2:$A$300="",1,0),0)),"")</f>
      </c>
    </row>
    <row r="31" customFormat="false" ht="12.8" hidden="false" customHeight="false" outlineLevel="0" collapsed="false">
      <c r="A31" s="8">
        <f t="array" ref="A31">IFERROR(INDEX(Materiales!$A$2:$A$300,MATCH(0,COUNTIF($A$1:A30,Materiales!$A$2:$A$300)+IF(Materiales!$A$2:$A$300="",1,0),0)),"")</f>
      </c>
      <c r="B31" s="8">
        <f t="array" ref="B31">IFERROR(INDEX(Colecciones!$A$2:$A$300,MATCH(0,COUNTIF($B$1:B30,Colecciones!$A$2:$A$300)+IF(Colecciones!$A$2:$A$300="",1,0),0)),"")</f>
      </c>
    </row>
    <row r="32" customFormat="false" ht="12.8" hidden="false" customHeight="false" outlineLevel="0" collapsed="false">
      <c r="A32" s="8">
        <f t="array" ref="A32">IFERROR(INDEX(Materiales!$A$2:$A$300,MATCH(0,COUNTIF($A$1:A31,Materiales!$A$2:$A$300)+IF(Materiales!$A$2:$A$300="",1,0),0)),"")</f>
      </c>
      <c r="B32" s="8">
        <f t="array" ref="B32">IFERROR(INDEX(Colecciones!$A$2:$A$300,MATCH(0,COUNTIF($B$1:B31,Colecciones!$A$2:$A$300)+IF(Colecciones!$A$2:$A$300="",1,0),0)),"")</f>
      </c>
    </row>
    <row r="33" customFormat="false" ht="12.8" hidden="false" customHeight="false" outlineLevel="0" collapsed="false">
      <c r="A33" s="8">
        <f t="array" ref="A33">IFERROR(INDEX(Materiales!$A$2:$A$300,MATCH(0,COUNTIF($A$1:A32,Materiales!$A$2:$A$300)+IF(Materiales!$A$2:$A$300="",1,0),0)),"")</f>
      </c>
      <c r="B33" s="8">
        <f t="array" ref="B33">IFERROR(INDEX(Colecciones!$A$2:$A$300,MATCH(0,COUNTIF($B$1:B32,Colecciones!$A$2:$A$300)+IF(Colecciones!$A$2:$A$300="",1,0),0)),"")</f>
      </c>
    </row>
    <row r="34" customFormat="false" ht="12.8" hidden="false" customHeight="false" outlineLevel="0" collapsed="false">
      <c r="A34" s="8">
        <f t="array" ref="A34">IFERROR(INDEX(Materiales!$A$2:$A$300,MATCH(0,COUNTIF($A$1:A33,Materiales!$A$2:$A$300)+IF(Materiales!$A$2:$A$300="",1,0),0)),"")</f>
      </c>
      <c r="B34" s="8">
        <f t="array" ref="B34">IFERROR(INDEX(Colecciones!$A$2:$A$300,MATCH(0,COUNTIF($B$1:B33,Colecciones!$A$2:$A$300)+IF(Colecciones!$A$2:$A$300="",1,0),0)),"")</f>
      </c>
    </row>
    <row r="35" customFormat="false" ht="12.8" hidden="false" customHeight="false" outlineLevel="0" collapsed="false">
      <c r="A35" s="8">
        <f t="array" ref="A35">IFERROR(INDEX(Materiales!$A$2:$A$300,MATCH(0,COUNTIF($A$1:A34,Materiales!$A$2:$A$300)+IF(Materiales!$A$2:$A$300="",1,0),0)),"")</f>
      </c>
      <c r="B35" s="8">
        <f t="array" ref="B35">IFERROR(INDEX(Colecciones!$A$2:$A$300,MATCH(0,COUNTIF($B$1:B34,Colecciones!$A$2:$A$300)+IF(Colecciones!$A$2:$A$300="",1,0),0)),"")</f>
      </c>
    </row>
    <row r="36" customFormat="false" ht="12.8" hidden="false" customHeight="false" outlineLevel="0" collapsed="false">
      <c r="A36" s="8">
        <f t="array" ref="A36">IFERROR(INDEX(Materiales!$A$2:$A$300,MATCH(0,COUNTIF($A$1:A35,Materiales!$A$2:$A$300)+IF(Materiales!$A$2:$A$300="",1,0),0)),"")</f>
      </c>
      <c r="B36" s="8">
        <f t="array" ref="B36">IFERROR(INDEX(Colecciones!$A$2:$A$300,MATCH(0,COUNTIF($B$1:B35,Colecciones!$A$2:$A$300)+IF(Colecciones!$A$2:$A$300="",1,0),0)),"")</f>
      </c>
    </row>
    <row r="37" customFormat="false" ht="12.8" hidden="false" customHeight="false" outlineLevel="0" collapsed="false">
      <c r="A37" s="8">
        <f t="array" ref="A37">IFERROR(INDEX(Materiales!$A$2:$A$300,MATCH(0,COUNTIF($A$1:A36,Materiales!$A$2:$A$300)+IF(Materiales!$A$2:$A$300="",1,0),0)),"")</f>
      </c>
      <c r="B37" s="8">
        <f t="array" ref="B37">IFERROR(INDEX(Colecciones!$A$2:$A$300,MATCH(0,COUNTIF($B$1:B36,Colecciones!$A$2:$A$300)+IF(Colecciones!$A$2:$A$300="",1,0),0)),"")</f>
      </c>
    </row>
    <row r="38" customFormat="false" ht="12.8" hidden="false" customHeight="false" outlineLevel="0" collapsed="false">
      <c r="A38" s="8">
        <f t="array" ref="A38">IFERROR(INDEX(Materiales!$A$2:$A$300,MATCH(0,COUNTIF($A$1:A37,Materiales!$A$2:$A$300)+IF(Materiales!$A$2:$A$300="",1,0),0)),"")</f>
      </c>
      <c r="B38" s="8">
        <f t="array" ref="B38">IFERROR(INDEX(Colecciones!$A$2:$A$300,MATCH(0,COUNTIF($B$1:B37,Colecciones!$A$2:$A$300)+IF(Colecciones!$A$2:$A$300="",1,0),0)),"")</f>
      </c>
    </row>
    <row r="39" customFormat="false" ht="12.8" hidden="false" customHeight="false" outlineLevel="0" collapsed="false">
      <c r="A39" s="8">
        <f t="array" ref="A39">IFERROR(INDEX(Materiales!$A$2:$A$300,MATCH(0,COUNTIF($A$1:A38,Materiales!$A$2:$A$300)+IF(Materiales!$A$2:$A$300="",1,0),0)),"")</f>
      </c>
      <c r="B39" s="8">
        <f t="array" ref="B39">IFERROR(INDEX(Colecciones!$A$2:$A$300,MATCH(0,COUNTIF($B$1:B38,Colecciones!$A$2:$A$300)+IF(Colecciones!$A$2:$A$300="",1,0),0)),"")</f>
      </c>
    </row>
    <row r="40" customFormat="false" ht="12.8" hidden="false" customHeight="false" outlineLevel="0" collapsed="false">
      <c r="A40" s="8">
        <f t="array" ref="A40">IFERROR(INDEX(Materiales!$A$2:$A$300,MATCH(0,COUNTIF($A$1:A39,Materiales!$A$2:$A$300)+IF(Materiales!$A$2:$A$300="",1,0),0)),"")</f>
      </c>
      <c r="B40" s="8">
        <f t="array" ref="B40">IFERROR(INDEX(Colecciones!$A$2:$A$300,MATCH(0,COUNTIF($B$1:B39,Colecciones!$A$2:$A$300)+IF(Colecciones!$A$2:$A$300="",1,0),0)),"")</f>
      </c>
    </row>
    <row r="41" customFormat="false" ht="12.8" hidden="false" customHeight="false" outlineLevel="0" collapsed="false">
      <c r="A41" s="8">
        <f t="array" ref="A41">IFERROR(INDEX(Materiales!$A$2:$A$300,MATCH(0,COUNTIF($A$1:A40,Materiales!$A$2:$A$300)+IF(Materiales!$A$2:$A$300="",1,0),0)),"")</f>
      </c>
      <c r="B41" s="8">
        <f t="array" ref="B41">IFERROR(INDEX(Colecciones!$A$2:$A$300,MATCH(0,COUNTIF($B$1:B40,Colecciones!$A$2:$A$300)+IF(Colecciones!$A$2:$A$300="",1,0),0)),"")</f>
      </c>
    </row>
    <row r="42" customFormat="false" ht="12.8" hidden="false" customHeight="false" outlineLevel="0" collapsed="false">
      <c r="A42" s="8">
        <f t="array" ref="A42">IFERROR(INDEX(Materiales!$A$2:$A$300,MATCH(0,COUNTIF($A$1:A41,Materiales!$A$2:$A$300)+IF(Materiales!$A$2:$A$300="",1,0),0)),"")</f>
      </c>
      <c r="B42" s="8">
        <f t="array" ref="B42">IFERROR(INDEX(Colecciones!$A$2:$A$300,MATCH(0,COUNTIF($B$1:B41,Colecciones!$A$2:$A$300)+IF(Colecciones!$A$2:$A$300="",1,0),0)),"")</f>
      </c>
    </row>
    <row r="43" customFormat="false" ht="12.8" hidden="false" customHeight="false" outlineLevel="0" collapsed="false">
      <c r="A43" s="8">
        <f t="array" ref="A43">IFERROR(INDEX(Materiales!$A$2:$A$300,MATCH(0,COUNTIF($A$1:A42,Materiales!$A$2:$A$300)+IF(Materiales!$A$2:$A$300="",1,0),0)),"")</f>
      </c>
      <c r="B43" s="8">
        <f t="array" ref="B43">IFERROR(INDEX(Colecciones!$A$2:$A$300,MATCH(0,COUNTIF($B$1:B42,Colecciones!$A$2:$A$300)+IF(Colecciones!$A$2:$A$300="",1,0),0)),"")</f>
      </c>
    </row>
    <row r="44" customFormat="false" ht="12.8" hidden="false" customHeight="false" outlineLevel="0" collapsed="false">
      <c r="A44" s="8">
        <f t="array" ref="A44">IFERROR(INDEX(Materiales!$A$2:$A$300,MATCH(0,COUNTIF($A$1:A43,Materiales!$A$2:$A$300)+IF(Materiales!$A$2:$A$300="",1,0),0)),"")</f>
      </c>
      <c r="B44" s="8">
        <f t="array" ref="B44">IFERROR(INDEX(Colecciones!$A$2:$A$300,MATCH(0,COUNTIF($B$1:B43,Colecciones!$A$2:$A$300)+IF(Colecciones!$A$2:$A$300="",1,0),0)),"")</f>
      </c>
    </row>
    <row r="45" customFormat="false" ht="12.8" hidden="false" customHeight="false" outlineLevel="0" collapsed="false">
      <c r="A45" s="8">
        <f t="array" ref="A45">IFERROR(INDEX(Materiales!$A$2:$A$300,MATCH(0,COUNTIF($A$1:A44,Materiales!$A$2:$A$300)+IF(Materiales!$A$2:$A$300="",1,0),0)),"")</f>
      </c>
      <c r="B45" s="8">
        <f t="array" ref="B45">IFERROR(INDEX(Colecciones!$A$2:$A$300,MATCH(0,COUNTIF($B$1:B44,Colecciones!$A$2:$A$300)+IF(Colecciones!$A$2:$A$300="",1,0),0)),"")</f>
      </c>
    </row>
    <row r="46" customFormat="false" ht="12.8" hidden="false" customHeight="false" outlineLevel="0" collapsed="false">
      <c r="A46" s="8">
        <f t="array" ref="A46">IFERROR(INDEX(Materiales!$A$2:$A$300,MATCH(0,COUNTIF($A$1:A45,Materiales!$A$2:$A$300)+IF(Materiales!$A$2:$A$300="",1,0),0)),"")</f>
      </c>
      <c r="B46" s="8">
        <f t="array" ref="B46">IFERROR(INDEX(Colecciones!$A$2:$A$300,MATCH(0,COUNTIF($B$1:B45,Colecciones!$A$2:$A$300)+IF(Colecciones!$A$2:$A$300="",1,0),0)),"")</f>
      </c>
    </row>
    <row r="47" customFormat="false" ht="12.8" hidden="false" customHeight="false" outlineLevel="0" collapsed="false">
      <c r="A47" s="8">
        <f t="array" ref="A47">IFERROR(INDEX(Materiales!$A$2:$A$300,MATCH(0,COUNTIF($A$1:A46,Materiales!$A$2:$A$300)+IF(Materiales!$A$2:$A$300="",1,0),0)),"")</f>
      </c>
      <c r="B47" s="8">
        <f t="array" ref="B47">IFERROR(INDEX(Colecciones!$A$2:$A$300,MATCH(0,COUNTIF($B$1:B46,Colecciones!$A$2:$A$300)+IF(Colecciones!$A$2:$A$300="",1,0),0)),"")</f>
      </c>
    </row>
    <row r="48" customFormat="false" ht="12.8" hidden="false" customHeight="false" outlineLevel="0" collapsed="false">
      <c r="A48" s="8">
        <f t="array" ref="A48">IFERROR(INDEX(Materiales!$A$2:$A$300,MATCH(0,COUNTIF($A$1:A47,Materiales!$A$2:$A$300)+IF(Materiales!$A$2:$A$300="",1,0),0)),"")</f>
      </c>
      <c r="B48" s="8">
        <f t="array" ref="B48">IFERROR(INDEX(Colecciones!$A$2:$A$300,MATCH(0,COUNTIF($B$1:B47,Colecciones!$A$2:$A$300)+IF(Colecciones!$A$2:$A$300="",1,0),0)),"")</f>
      </c>
    </row>
    <row r="49" customFormat="false" ht="12.8" hidden="false" customHeight="false" outlineLevel="0" collapsed="false">
      <c r="A49" s="8">
        <f t="array" ref="A49">IFERROR(INDEX(Materiales!$A$2:$A$300,MATCH(0,COUNTIF($A$1:A48,Materiales!$A$2:$A$300)+IF(Materiales!$A$2:$A$300="",1,0),0)),"")</f>
      </c>
      <c r="B49" s="8">
        <f t="array" ref="B49">IFERROR(INDEX(Colecciones!$A$2:$A$300,MATCH(0,COUNTIF($B$1:B48,Colecciones!$A$2:$A$300)+IF(Colecciones!$A$2:$A$300="",1,0),0)),"")</f>
      </c>
    </row>
    <row r="50" customFormat="false" ht="12.8" hidden="false" customHeight="false" outlineLevel="0" collapsed="false">
      <c r="A50" s="8">
        <f t="array" ref="A50">IFERROR(INDEX(Materiales!$A$2:$A$300,MATCH(0,COUNTIF($A$1:A49,Materiales!$A$2:$A$300)+IF(Materiales!$A$2:$A$300="",1,0),0)),"")</f>
      </c>
      <c r="B50" s="8">
        <f t="array" ref="B50">IFERROR(INDEX(Colecciones!$A$2:$A$300,MATCH(0,COUNTIF($B$1:B49,Colecciones!$A$2:$A$300)+IF(Colecciones!$A$2:$A$300="",1,0),0)),"")</f>
      </c>
    </row>
    <row r="51" customFormat="false" ht="12.8" hidden="false" customHeight="false" outlineLevel="0" collapsed="false">
      <c r="A51" s="8">
        <f t="array" ref="A51">IFERROR(INDEX(Materiales!$A$2:$A$300,MATCH(0,COUNTIF($A$1:A50,Materiales!$A$2:$A$300)+IF(Materiales!$A$2:$A$300="",1,0),0)),"")</f>
      </c>
      <c r="B51" s="8">
        <f t="array" ref="B51">IFERROR(INDEX(Colecciones!$A$2:$A$300,MATCH(0,COUNTIF($B$1:B50,Colecciones!$A$2:$A$300)+IF(Colecciones!$A$2:$A$300="",1,0),0)),"")</f>
      </c>
    </row>
    <row r="52" customFormat="false" ht="12.8" hidden="false" customHeight="false" outlineLevel="0" collapsed="false">
      <c r="A52" s="8">
        <f t="array" ref="A52">IFERROR(INDEX(Materiales!$A$2:$A$300,MATCH(0,COUNTIF($A$1:A51,Materiales!$A$2:$A$300)+IF(Materiales!$A$2:$A$300="",1,0),0)),"")</f>
      </c>
      <c r="B52" s="8">
        <f t="array" ref="B52">IFERROR(INDEX(Colecciones!$A$2:$A$300,MATCH(0,COUNTIF($B$1:B51,Colecciones!$A$2:$A$300)+IF(Colecciones!$A$2:$A$300="",1,0),0)),"")</f>
      </c>
    </row>
    <row r="53" customFormat="false" ht="12.8" hidden="false" customHeight="false" outlineLevel="0" collapsed="false">
      <c r="A53" s="8">
        <f t="array" ref="A53">IFERROR(INDEX(Materiales!$A$2:$A$300,MATCH(0,COUNTIF($A$1:A52,Materiales!$A$2:$A$300)+IF(Materiales!$A$2:$A$300="",1,0),0)),"")</f>
      </c>
      <c r="B53" s="8">
        <f t="array" ref="B53">IFERROR(INDEX(Colecciones!$A$2:$A$300,MATCH(0,COUNTIF($B$1:B52,Colecciones!$A$2:$A$300)+IF(Colecciones!$A$2:$A$300="",1,0),0)),"")</f>
      </c>
    </row>
    <row r="54" customFormat="false" ht="12.8" hidden="false" customHeight="false" outlineLevel="0" collapsed="false">
      <c r="A54" s="8">
        <f t="array" ref="A54">IFERROR(INDEX(Materiales!$A$2:$A$300,MATCH(0,COUNTIF($A$1:A53,Materiales!$A$2:$A$300)+IF(Materiales!$A$2:$A$300="",1,0),0)),"")</f>
      </c>
      <c r="B54" s="8">
        <f t="array" ref="B54">IFERROR(INDEX(Colecciones!$A$2:$A$300,MATCH(0,COUNTIF($B$1:B53,Colecciones!$A$2:$A$300)+IF(Colecciones!$A$2:$A$300="",1,0),0)),"")</f>
      </c>
    </row>
    <row r="55" customFormat="false" ht="12.8" hidden="false" customHeight="false" outlineLevel="0" collapsed="false">
      <c r="A55" s="8">
        <f t="array" ref="A55">IFERROR(INDEX(Materiales!$A$2:$A$300,MATCH(0,COUNTIF($A$1:A54,Materiales!$A$2:$A$300)+IF(Materiales!$A$2:$A$300="",1,0),0)),"")</f>
      </c>
      <c r="B55" s="8">
        <f t="array" ref="B55">IFERROR(INDEX(Colecciones!$A$2:$A$300,MATCH(0,COUNTIF($B$1:B54,Colecciones!$A$2:$A$300)+IF(Colecciones!$A$2:$A$300="",1,0),0)),"")</f>
      </c>
    </row>
    <row r="56" customFormat="false" ht="12.8" hidden="false" customHeight="false" outlineLevel="0" collapsed="false">
      <c r="A56" s="8">
        <f t="array" ref="A56">IFERROR(INDEX(Materiales!$A$2:$A$300,MATCH(0,COUNTIF($A$1:A55,Materiales!$A$2:$A$300)+IF(Materiales!$A$2:$A$300="",1,0),0)),"")</f>
      </c>
      <c r="B56" s="8">
        <f t="array" ref="B56">IFERROR(INDEX(Colecciones!$A$2:$A$300,MATCH(0,COUNTIF($B$1:B55,Colecciones!$A$2:$A$300)+IF(Colecciones!$A$2:$A$300="",1,0),0)),"")</f>
      </c>
    </row>
    <row r="57" customFormat="false" ht="12.8" hidden="false" customHeight="false" outlineLevel="0" collapsed="false">
      <c r="A57" s="8">
        <f t="array" ref="A57">IFERROR(INDEX(Materiales!$A$2:$A$300,MATCH(0,COUNTIF($A$1:A56,Materiales!$A$2:$A$300)+IF(Materiales!$A$2:$A$300="",1,0),0)),"")</f>
      </c>
      <c r="B57" s="8">
        <f t="array" ref="B57">IFERROR(INDEX(Colecciones!$A$2:$A$300,MATCH(0,COUNTIF($B$1:B56,Colecciones!$A$2:$A$300)+IF(Colecciones!$A$2:$A$300="",1,0),0)),"")</f>
      </c>
    </row>
    <row r="58" customFormat="false" ht="12.8" hidden="false" customHeight="false" outlineLevel="0" collapsed="false">
      <c r="A58" s="8">
        <f t="array" ref="A58">IFERROR(INDEX(Materiales!$A$2:$A$300,MATCH(0,COUNTIF($A$1:A57,Materiales!$A$2:$A$300)+IF(Materiales!$A$2:$A$300="",1,0),0)),"")</f>
      </c>
      <c r="B58" s="8">
        <f t="array" ref="B58">IFERROR(INDEX(Colecciones!$A$2:$A$300,MATCH(0,COUNTIF($B$1:B57,Colecciones!$A$2:$A$300)+IF(Colecciones!$A$2:$A$300="",1,0),0)),"")</f>
      </c>
    </row>
    <row r="59" customFormat="false" ht="12.8" hidden="false" customHeight="false" outlineLevel="0" collapsed="false">
      <c r="A59" s="8">
        <f t="array" ref="A59">IFERROR(INDEX(Materiales!$A$2:$A$300,MATCH(0,COUNTIF($A$1:A58,Materiales!$A$2:$A$300)+IF(Materiales!$A$2:$A$300="",1,0),0)),"")</f>
      </c>
      <c r="B59" s="8">
        <f t="array" ref="B59">IFERROR(INDEX(Colecciones!$A$2:$A$300,MATCH(0,COUNTIF($B$1:B58,Colecciones!$A$2:$A$300)+IF(Colecciones!$A$2:$A$300="",1,0),0)),"")</f>
      </c>
    </row>
    <row r="60" customFormat="false" ht="12.8" hidden="false" customHeight="false" outlineLevel="0" collapsed="false">
      <c r="A60" s="8">
        <f t="array" ref="A60">IFERROR(INDEX(Materiales!$A$2:$A$300,MATCH(0,COUNTIF($A$1:A59,Materiales!$A$2:$A$300)+IF(Materiales!$A$2:$A$300="",1,0),0)),"")</f>
      </c>
      <c r="B60" s="8">
        <f t="array" ref="B60">IFERROR(INDEX(Colecciones!$A$2:$A$300,MATCH(0,COUNTIF($B$1:B59,Colecciones!$A$2:$A$300)+IF(Colecciones!$A$2:$A$300="",1,0),0)),"")</f>
      </c>
    </row>
    <row r="61" customFormat="false" ht="12.8" hidden="false" customHeight="false" outlineLevel="0" collapsed="false">
      <c r="A61" s="8">
        <f t="array" ref="A61">IFERROR(INDEX(Materiales!$A$2:$A$300,MATCH(0,COUNTIF($A$1:A60,Materiales!$A$2:$A$300)+IF(Materiales!$A$2:$A$300="",1,0),0)),"")</f>
      </c>
      <c r="B61" s="8">
        <f t="array" ref="B61">IFERROR(INDEX(Colecciones!$A$2:$A$300,MATCH(0,COUNTIF($B$1:B60,Colecciones!$A$2:$A$300)+IF(Colecciones!$A$2:$A$300="",1,0),0)),"")</f>
      </c>
    </row>
    <row r="62" customFormat="false" ht="12.8" hidden="false" customHeight="false" outlineLevel="0" collapsed="false">
      <c r="A62" s="8">
        <f t="array" ref="A62">IFERROR(INDEX(Materiales!$A$2:$A$300,MATCH(0,COUNTIF($A$1:A61,Materiales!$A$2:$A$300)+IF(Materiales!$A$2:$A$300="",1,0),0)),"")</f>
      </c>
      <c r="B62" s="8">
        <f t="array" ref="B62">IFERROR(INDEX(Colecciones!$A$2:$A$300,MATCH(0,COUNTIF($B$1:B61,Colecciones!$A$2:$A$300)+IF(Colecciones!$A$2:$A$300="",1,0),0)),"")</f>
      </c>
    </row>
    <row r="63" customFormat="false" ht="12.8" hidden="false" customHeight="false" outlineLevel="0" collapsed="false">
      <c r="A63" s="8">
        <f t="array" ref="A63">IFERROR(INDEX(Materiales!$A$2:$A$300,MATCH(0,COUNTIF($A$1:A62,Materiales!$A$2:$A$300)+IF(Materiales!$A$2:$A$300="",1,0),0)),"")</f>
      </c>
      <c r="B63" s="8">
        <f t="array" ref="B63">IFERROR(INDEX(Colecciones!$A$2:$A$300,MATCH(0,COUNTIF($B$1:B62,Colecciones!$A$2:$A$300)+IF(Colecciones!$A$2:$A$300="",1,0),0)),"")</f>
      </c>
    </row>
    <row r="64" customFormat="false" ht="12.8" hidden="false" customHeight="false" outlineLevel="0" collapsed="false">
      <c r="A64" s="8">
        <f t="array" ref="A64">IFERROR(INDEX(Materiales!$A$2:$A$300,MATCH(0,COUNTIF($A$1:A63,Materiales!$A$2:$A$300)+IF(Materiales!$A$2:$A$300="",1,0),0)),"")</f>
      </c>
      <c r="B64" s="8">
        <f t="array" ref="B64">IFERROR(INDEX(Colecciones!$A$2:$A$300,MATCH(0,COUNTIF($B$1:B63,Colecciones!$A$2:$A$300)+IF(Colecciones!$A$2:$A$300="",1,0),0)),"")</f>
      </c>
    </row>
    <row r="65" customFormat="false" ht="12.8" hidden="false" customHeight="false" outlineLevel="0" collapsed="false">
      <c r="A65" s="8">
        <f t="array" ref="A65">IFERROR(INDEX(Materiales!$A$2:$A$300,MATCH(0,COUNTIF($A$1:A64,Materiales!$A$2:$A$300)+IF(Materiales!$A$2:$A$300="",1,0),0)),"")</f>
      </c>
      <c r="B65" s="8">
        <f t="array" ref="B65">IFERROR(INDEX(Colecciones!$A$2:$A$300,MATCH(0,COUNTIF($B$1:B64,Colecciones!$A$2:$A$300)+IF(Colecciones!$A$2:$A$300="",1,0),0)),"")</f>
      </c>
    </row>
    <row r="66" customFormat="false" ht="12.8" hidden="false" customHeight="false" outlineLevel="0" collapsed="false">
      <c r="A66" s="8">
        <f t="array" ref="A66">IFERROR(INDEX(Materiales!$A$2:$A$300,MATCH(0,COUNTIF($A$1:A65,Materiales!$A$2:$A$300)+IF(Materiales!$A$2:$A$300="",1,0),0)),"")</f>
      </c>
      <c r="B66" s="8">
        <f t="array" ref="B66">IFERROR(INDEX(Colecciones!$A$2:$A$300,MATCH(0,COUNTIF($B$1:B65,Colecciones!$A$2:$A$300)+IF(Colecciones!$A$2:$A$300="",1,0),0)),"")</f>
      </c>
    </row>
    <row r="67" customFormat="false" ht="12.8" hidden="false" customHeight="false" outlineLevel="0" collapsed="false">
      <c r="A67" s="8">
        <f t="array" ref="A67">IFERROR(INDEX(Materiales!$A$2:$A$300,MATCH(0,COUNTIF($A$1:A66,Materiales!$A$2:$A$300)+IF(Materiales!$A$2:$A$300="",1,0),0)),"")</f>
      </c>
      <c r="B67" s="8">
        <f t="array" ref="B67">IFERROR(INDEX(Colecciones!$A$2:$A$300,MATCH(0,COUNTIF($B$1:B66,Colecciones!$A$2:$A$300)+IF(Colecciones!$A$2:$A$300="",1,0),0)),"")</f>
      </c>
    </row>
    <row r="68" customFormat="false" ht="12.8" hidden="false" customHeight="false" outlineLevel="0" collapsed="false">
      <c r="A68" s="8">
        <f t="array" ref="A68">IFERROR(INDEX(Materiales!$A$2:$A$300,MATCH(0,COUNTIF($A$1:A67,Materiales!$A$2:$A$300)+IF(Materiales!$A$2:$A$300="",1,0),0)),"")</f>
      </c>
      <c r="B68" s="8">
        <f t="array" ref="B68">IFERROR(INDEX(Colecciones!$A$2:$A$300,MATCH(0,COUNTIF($B$1:B67,Colecciones!$A$2:$A$300)+IF(Colecciones!$A$2:$A$300="",1,0),0)),"")</f>
      </c>
    </row>
    <row r="69" customFormat="false" ht="12.8" hidden="false" customHeight="false" outlineLevel="0" collapsed="false">
      <c r="A69" s="8">
        <f t="array" ref="A69">IFERROR(INDEX(Materiales!$A$2:$A$300,MATCH(0,COUNTIF($A$1:A68,Materiales!$A$2:$A$300)+IF(Materiales!$A$2:$A$300="",1,0),0)),"")</f>
      </c>
      <c r="B69" s="8">
        <f t="array" ref="B69">IFERROR(INDEX(Colecciones!$A$2:$A$300,MATCH(0,COUNTIF($B$1:B68,Colecciones!$A$2:$A$300)+IF(Colecciones!$A$2:$A$300="",1,0),0)),"")</f>
      </c>
    </row>
    <row r="70" customFormat="false" ht="12.8" hidden="false" customHeight="false" outlineLevel="0" collapsed="false">
      <c r="A70" s="8">
        <f t="array" ref="A70">IFERROR(INDEX(Materiales!$A$2:$A$300,MATCH(0,COUNTIF($A$1:A69,Materiales!$A$2:$A$300)+IF(Materiales!$A$2:$A$300="",1,0),0)),"")</f>
      </c>
      <c r="B70" s="8">
        <f t="array" ref="B70">IFERROR(INDEX(Colecciones!$A$2:$A$300,MATCH(0,COUNTIF($B$1:B69,Colecciones!$A$2:$A$300)+IF(Colecciones!$A$2:$A$300="",1,0),0)),"")</f>
      </c>
    </row>
    <row r="71" customFormat="false" ht="12.8" hidden="false" customHeight="false" outlineLevel="0" collapsed="false">
      <c r="A71" s="8">
        <f t="array" ref="A71">IFERROR(INDEX(Materiales!$A$2:$A$300,MATCH(0,COUNTIF($A$1:A70,Materiales!$A$2:$A$300)+IF(Materiales!$A$2:$A$300="",1,0),0)),"")</f>
      </c>
      <c r="B71" s="8">
        <f t="array" ref="B71">IFERROR(INDEX(Colecciones!$A$2:$A$300,MATCH(0,COUNTIF($B$1:B70,Colecciones!$A$2:$A$300)+IF(Colecciones!$A$2:$A$300="",1,0),0)),"")</f>
      </c>
    </row>
    <row r="72" customFormat="false" ht="12.8" hidden="false" customHeight="false" outlineLevel="0" collapsed="false">
      <c r="A72" s="8">
        <f t="array" ref="A72">IFERROR(INDEX(Materiales!$A$2:$A$300,MATCH(0,COUNTIF($A$1:A71,Materiales!$A$2:$A$300)+IF(Materiales!$A$2:$A$300="",1,0),0)),"")</f>
      </c>
      <c r="B72" s="8">
        <f t="array" ref="B72">IFERROR(INDEX(Colecciones!$A$2:$A$300,MATCH(0,COUNTIF($B$1:B71,Colecciones!$A$2:$A$300)+IF(Colecciones!$A$2:$A$300="",1,0),0)),"")</f>
      </c>
    </row>
    <row r="73" customFormat="false" ht="12.8" hidden="false" customHeight="false" outlineLevel="0" collapsed="false">
      <c r="A73" s="8">
        <f t="array" ref="A73">IFERROR(INDEX(Materiales!$A$2:$A$300,MATCH(0,COUNTIF($A$1:A72,Materiales!$A$2:$A$300)+IF(Materiales!$A$2:$A$300="",1,0),0)),"")</f>
      </c>
      <c r="B73" s="8">
        <f t="array" ref="B73">IFERROR(INDEX(Colecciones!$A$2:$A$300,MATCH(0,COUNTIF($B$1:B72,Colecciones!$A$2:$A$300)+IF(Colecciones!$A$2:$A$300="",1,0),0)),"")</f>
      </c>
    </row>
    <row r="74" customFormat="false" ht="12.8" hidden="false" customHeight="false" outlineLevel="0" collapsed="false">
      <c r="A74" s="8">
        <f t="array" ref="A74">IFERROR(INDEX(Materiales!$A$2:$A$300,MATCH(0,COUNTIF($A$1:A73,Materiales!$A$2:$A$300)+IF(Materiales!$A$2:$A$300="",1,0),0)),"")</f>
      </c>
      <c r="B74" s="8">
        <f t="array" ref="B74">IFERROR(INDEX(Colecciones!$A$2:$A$300,MATCH(0,COUNTIF($B$1:B73,Colecciones!$A$2:$A$300)+IF(Colecciones!$A$2:$A$300="",1,0),0)),"")</f>
      </c>
    </row>
    <row r="75" customFormat="false" ht="12.8" hidden="false" customHeight="false" outlineLevel="0" collapsed="false">
      <c r="A75" s="8">
        <f t="array" ref="A75">IFERROR(INDEX(Materiales!$A$2:$A$300,MATCH(0,COUNTIF($A$1:A74,Materiales!$A$2:$A$300)+IF(Materiales!$A$2:$A$300="",1,0),0)),"")</f>
      </c>
      <c r="B75" s="8">
        <f t="array" ref="B75">IFERROR(INDEX(Colecciones!$A$2:$A$300,MATCH(0,COUNTIF($B$1:B74,Colecciones!$A$2:$A$300)+IF(Colecciones!$A$2:$A$300="",1,0),0)),"")</f>
      </c>
    </row>
    <row r="76" customFormat="false" ht="12.8" hidden="false" customHeight="false" outlineLevel="0" collapsed="false">
      <c r="A76" s="8">
        <f t="array" ref="A76">IFERROR(INDEX(Materiales!$A$2:$A$300,MATCH(0,COUNTIF($A$1:A75,Materiales!$A$2:$A$300)+IF(Materiales!$A$2:$A$300="",1,0),0)),"")</f>
      </c>
      <c r="B76" s="8">
        <f t="array" ref="B76">IFERROR(INDEX(Colecciones!$A$2:$A$300,MATCH(0,COUNTIF($B$1:B75,Colecciones!$A$2:$A$300)+IF(Colecciones!$A$2:$A$300="",1,0),0)),"")</f>
      </c>
    </row>
    <row r="77" customFormat="false" ht="12.8" hidden="false" customHeight="false" outlineLevel="0" collapsed="false">
      <c r="A77" s="8">
        <f t="array" ref="A77">IFERROR(INDEX(Materiales!$A$2:$A$300,MATCH(0,COUNTIF($A$1:A76,Materiales!$A$2:$A$300)+IF(Materiales!$A$2:$A$300="",1,0),0)),"")</f>
      </c>
      <c r="B77" s="8">
        <f t="array" ref="B77">IFERROR(INDEX(Colecciones!$A$2:$A$300,MATCH(0,COUNTIF($B$1:B76,Colecciones!$A$2:$A$300)+IF(Colecciones!$A$2:$A$300="",1,0),0)),"")</f>
      </c>
    </row>
    <row r="78" customFormat="false" ht="12.8" hidden="false" customHeight="false" outlineLevel="0" collapsed="false">
      <c r="A78" s="8">
        <f t="array" ref="A78">IFERROR(INDEX(Materiales!$A$2:$A$300,MATCH(0,COUNTIF($A$1:A77,Materiales!$A$2:$A$300)+IF(Materiales!$A$2:$A$300="",1,0),0)),"")</f>
      </c>
      <c r="B78" s="8">
        <f t="array" ref="B78">IFERROR(INDEX(Colecciones!$A$2:$A$300,MATCH(0,COUNTIF($B$1:B77,Colecciones!$A$2:$A$300)+IF(Colecciones!$A$2:$A$300="",1,0),0)),"")</f>
      </c>
    </row>
    <row r="79" customFormat="false" ht="12.8" hidden="false" customHeight="false" outlineLevel="0" collapsed="false">
      <c r="A79" s="8">
        <f t="array" ref="A79">IFERROR(INDEX(Materiales!$A$2:$A$300,MATCH(0,COUNTIF($A$1:A78,Materiales!$A$2:$A$300)+IF(Materiales!$A$2:$A$300="",1,0),0)),"")</f>
      </c>
      <c r="B79" s="8">
        <f t="array" ref="B79">IFERROR(INDEX(Colecciones!$A$2:$A$300,MATCH(0,COUNTIF($B$1:B78,Colecciones!$A$2:$A$300)+IF(Colecciones!$A$2:$A$300="",1,0),0)),"")</f>
      </c>
    </row>
    <row r="80" customFormat="false" ht="12.8" hidden="false" customHeight="false" outlineLevel="0" collapsed="false">
      <c r="A80" s="8">
        <f t="array" ref="A80">IFERROR(INDEX(Materiales!$A$2:$A$300,MATCH(0,COUNTIF($A$1:A79,Materiales!$A$2:$A$300)+IF(Materiales!$A$2:$A$300="",1,0),0)),"")</f>
      </c>
      <c r="B80" s="8">
        <f t="array" ref="B80">IFERROR(INDEX(Colecciones!$A$2:$A$300,MATCH(0,COUNTIF($B$1:B79,Colecciones!$A$2:$A$300)+IF(Colecciones!$A$2:$A$300="",1,0),0)),"")</f>
      </c>
    </row>
    <row r="81" customFormat="false" ht="12.8" hidden="false" customHeight="false" outlineLevel="0" collapsed="false">
      <c r="A81" s="8">
        <f t="array" ref="A81">IFERROR(INDEX(Materiales!$A$2:$A$300,MATCH(0,COUNTIF($A$1:A80,Materiales!$A$2:$A$300)+IF(Materiales!$A$2:$A$300="",1,0),0)),"")</f>
      </c>
      <c r="B81" s="8">
        <f t="array" ref="B81">IFERROR(INDEX(Colecciones!$A$2:$A$300,MATCH(0,COUNTIF($B$1:B80,Colecciones!$A$2:$A$300)+IF(Colecciones!$A$2:$A$300="",1,0),0)),"")</f>
      </c>
    </row>
    <row r="82" customFormat="false" ht="12.8" hidden="false" customHeight="false" outlineLevel="0" collapsed="false">
      <c r="A82" s="8">
        <f t="array" ref="A82">IFERROR(INDEX(Materiales!$A$2:$A$300,MATCH(0,COUNTIF($A$1:A81,Materiales!$A$2:$A$300)+IF(Materiales!$A$2:$A$300="",1,0),0)),"")</f>
      </c>
      <c r="B82" s="8">
        <f t="array" ref="B82">IFERROR(INDEX(Colecciones!$A$2:$A$300,MATCH(0,COUNTIF($B$1:B81,Colecciones!$A$2:$A$300)+IF(Colecciones!$A$2:$A$300="",1,0),0)),"")</f>
      </c>
    </row>
    <row r="83" customFormat="false" ht="12.8" hidden="false" customHeight="false" outlineLevel="0" collapsed="false">
      <c r="A83" s="8">
        <f t="array" ref="A83">IFERROR(INDEX(Materiales!$A$2:$A$300,MATCH(0,COUNTIF($A$1:A82,Materiales!$A$2:$A$300)+IF(Materiales!$A$2:$A$300="",1,0),0)),"")</f>
      </c>
      <c r="B83" s="8">
        <f t="array" ref="B83">IFERROR(INDEX(Colecciones!$A$2:$A$300,MATCH(0,COUNTIF($B$1:B82,Colecciones!$A$2:$A$300)+IF(Colecciones!$A$2:$A$300="",1,0),0)),"")</f>
      </c>
    </row>
    <row r="84" customFormat="false" ht="12.8" hidden="false" customHeight="false" outlineLevel="0" collapsed="false">
      <c r="A84" s="8">
        <f t="array" ref="A84">IFERROR(INDEX(Materiales!$A$2:$A$300,MATCH(0,COUNTIF($A$1:A83,Materiales!$A$2:$A$300)+IF(Materiales!$A$2:$A$300="",1,0),0)),"")</f>
      </c>
      <c r="B84" s="8">
        <f t="array" ref="B84">IFERROR(INDEX(Colecciones!$A$2:$A$300,MATCH(0,COUNTIF($B$1:B83,Colecciones!$A$2:$A$300)+IF(Colecciones!$A$2:$A$300="",1,0),0)),"")</f>
      </c>
    </row>
    <row r="85" customFormat="false" ht="12.8" hidden="false" customHeight="false" outlineLevel="0" collapsed="false">
      <c r="A85" s="8">
        <f t="array" ref="A85">IFERROR(INDEX(Materiales!$A$2:$A$300,MATCH(0,COUNTIF($A$1:A84,Materiales!$A$2:$A$300)+IF(Materiales!$A$2:$A$300="",1,0),0)),"")</f>
      </c>
      <c r="B85" s="8">
        <f t="array" ref="B85">IFERROR(INDEX(Colecciones!$A$2:$A$300,MATCH(0,COUNTIF($B$1:B84,Colecciones!$A$2:$A$300)+IF(Colecciones!$A$2:$A$300="",1,0),0)),"")</f>
      </c>
    </row>
    <row r="86" customFormat="false" ht="12.8" hidden="false" customHeight="false" outlineLevel="0" collapsed="false">
      <c r="A86" s="8">
        <f t="array" ref="A86">IFERROR(INDEX(Materiales!$A$2:$A$300,MATCH(0,COUNTIF($A$1:A85,Materiales!$A$2:$A$300)+IF(Materiales!$A$2:$A$300="",1,0),0)),"")</f>
      </c>
      <c r="B86" s="8">
        <f t="array" ref="B86">IFERROR(INDEX(Colecciones!$A$2:$A$300,MATCH(0,COUNTIF($B$1:B85,Colecciones!$A$2:$A$300)+IF(Colecciones!$A$2:$A$300="",1,0),0)),"")</f>
      </c>
    </row>
    <row r="87" customFormat="false" ht="12.8" hidden="false" customHeight="false" outlineLevel="0" collapsed="false">
      <c r="A87" s="8">
        <f t="array" ref="A87">IFERROR(INDEX(Materiales!$A$2:$A$300,MATCH(0,COUNTIF($A$1:A86,Materiales!$A$2:$A$300)+IF(Materiales!$A$2:$A$300="",1,0),0)),"")</f>
      </c>
      <c r="B87" s="8">
        <f t="array" ref="B87">IFERROR(INDEX(Colecciones!$A$2:$A$300,MATCH(0,COUNTIF($B$1:B86,Colecciones!$A$2:$A$300)+IF(Colecciones!$A$2:$A$300="",1,0),0)),"")</f>
      </c>
    </row>
    <row r="88" customFormat="false" ht="12.8" hidden="false" customHeight="false" outlineLevel="0" collapsed="false">
      <c r="A88" s="8">
        <f t="array" ref="A88">IFERROR(INDEX(Materiales!$A$2:$A$300,MATCH(0,COUNTIF($A$1:A87,Materiales!$A$2:$A$300)+IF(Materiales!$A$2:$A$300="",1,0),0)),"")</f>
      </c>
      <c r="B88" s="8">
        <f t="array" ref="B88">IFERROR(INDEX(Colecciones!$A$2:$A$300,MATCH(0,COUNTIF($B$1:B87,Colecciones!$A$2:$A$300)+IF(Colecciones!$A$2:$A$300="",1,0),0)),"")</f>
      </c>
    </row>
    <row r="89" customFormat="false" ht="12.8" hidden="false" customHeight="false" outlineLevel="0" collapsed="false">
      <c r="A89" s="8">
        <f t="array" ref="A89">IFERROR(INDEX(Materiales!$A$2:$A$300,MATCH(0,COUNTIF($A$1:A88,Materiales!$A$2:$A$300)+IF(Materiales!$A$2:$A$300="",1,0),0)),"")</f>
      </c>
      <c r="B89" s="8">
        <f t="array" ref="B89">IFERROR(INDEX(Colecciones!$A$2:$A$300,MATCH(0,COUNTIF($B$1:B88,Colecciones!$A$2:$A$300)+IF(Colecciones!$A$2:$A$300="",1,0),0)),"")</f>
      </c>
    </row>
    <row r="90" customFormat="false" ht="12.8" hidden="false" customHeight="false" outlineLevel="0" collapsed="false">
      <c r="A90" s="8">
        <f t="array" ref="A90">IFERROR(INDEX(Materiales!$A$2:$A$300,MATCH(0,COUNTIF($A$1:A89,Materiales!$A$2:$A$300)+IF(Materiales!$A$2:$A$300="",1,0),0)),"")</f>
      </c>
      <c r="B90" s="8">
        <f t="array" ref="B90">IFERROR(INDEX(Colecciones!$A$2:$A$300,MATCH(0,COUNTIF($B$1:B89,Colecciones!$A$2:$A$300)+IF(Colecciones!$A$2:$A$300="",1,0),0)),"")</f>
      </c>
    </row>
    <row r="91" customFormat="false" ht="12.8" hidden="false" customHeight="false" outlineLevel="0" collapsed="false">
      <c r="A91" s="8">
        <f t="array" ref="A91">IFERROR(INDEX(Materiales!$A$2:$A$300,MATCH(0,COUNTIF($A$1:A90,Materiales!$A$2:$A$300)+IF(Materiales!$A$2:$A$300="",1,0),0)),"")</f>
      </c>
      <c r="B91" s="8">
        <f t="array" ref="B91">IFERROR(INDEX(Colecciones!$A$2:$A$300,MATCH(0,COUNTIF($B$1:B90,Colecciones!$A$2:$A$300)+IF(Colecciones!$A$2:$A$300="",1,0),0)),"")</f>
      </c>
    </row>
    <row r="92" customFormat="false" ht="12.8" hidden="false" customHeight="false" outlineLevel="0" collapsed="false">
      <c r="A92" s="8">
        <f t="array" ref="A92">IFERROR(INDEX(Materiales!$A$2:$A$300,MATCH(0,COUNTIF($A$1:A91,Materiales!$A$2:$A$300)+IF(Materiales!$A$2:$A$300="",1,0),0)),"")</f>
      </c>
      <c r="B92" s="8">
        <f t="array" ref="B92">IFERROR(INDEX(Colecciones!$A$2:$A$300,MATCH(0,COUNTIF($B$1:B91,Colecciones!$A$2:$A$300)+IF(Colecciones!$A$2:$A$300="",1,0),0)),"")</f>
      </c>
    </row>
    <row r="93" customFormat="false" ht="12.8" hidden="false" customHeight="false" outlineLevel="0" collapsed="false">
      <c r="A93" s="8">
        <f t="array" ref="A93">IFERROR(INDEX(Materiales!$A$2:$A$300,MATCH(0,COUNTIF($A$1:A92,Materiales!$A$2:$A$300)+IF(Materiales!$A$2:$A$300="",1,0),0)),"")</f>
      </c>
      <c r="B93" s="8">
        <f t="array" ref="B93">IFERROR(INDEX(Colecciones!$A$2:$A$300,MATCH(0,COUNTIF($B$1:B92,Colecciones!$A$2:$A$300)+IF(Colecciones!$A$2:$A$300="",1,0),0)),"")</f>
      </c>
    </row>
    <row r="94" customFormat="false" ht="12.8" hidden="false" customHeight="false" outlineLevel="0" collapsed="false">
      <c r="A94" s="8">
        <f t="array" ref="A94">IFERROR(INDEX(Materiales!$A$2:$A$300,MATCH(0,COUNTIF($A$1:A93,Materiales!$A$2:$A$300)+IF(Materiales!$A$2:$A$300="",1,0),0)),"")</f>
      </c>
      <c r="B94" s="8">
        <f t="array" ref="B94">IFERROR(INDEX(Colecciones!$A$2:$A$300,MATCH(0,COUNTIF($B$1:B93,Colecciones!$A$2:$A$300)+IF(Colecciones!$A$2:$A$300="",1,0),0)),"")</f>
      </c>
    </row>
    <row r="95" customFormat="false" ht="12.8" hidden="false" customHeight="false" outlineLevel="0" collapsed="false">
      <c r="A95" s="8">
        <f t="array" ref="A95">IFERROR(INDEX(Materiales!$A$2:$A$300,MATCH(0,COUNTIF($A$1:A94,Materiales!$A$2:$A$300)+IF(Materiales!$A$2:$A$300="",1,0),0)),"")</f>
      </c>
      <c r="B95" s="8">
        <f t="array" ref="B95">IFERROR(INDEX(Colecciones!$A$2:$A$300,MATCH(0,COUNTIF($B$1:B94,Colecciones!$A$2:$A$300)+IF(Colecciones!$A$2:$A$300="",1,0),0)),"")</f>
      </c>
    </row>
    <row r="96" customFormat="false" ht="12.8" hidden="false" customHeight="false" outlineLevel="0" collapsed="false">
      <c r="A96" s="8">
        <f t="array" ref="A96">IFERROR(INDEX(Materiales!$A$2:$A$300,MATCH(0,COUNTIF($A$1:A95,Materiales!$A$2:$A$300)+IF(Materiales!$A$2:$A$300="",1,0),0)),"")</f>
      </c>
      <c r="B96" s="8">
        <f t="array" ref="B96">IFERROR(INDEX(Colecciones!$A$2:$A$300,MATCH(0,COUNTIF($B$1:B95,Colecciones!$A$2:$A$300)+IF(Colecciones!$A$2:$A$300="",1,0),0)),"")</f>
      </c>
    </row>
    <row r="97" customFormat="false" ht="12.8" hidden="false" customHeight="false" outlineLevel="0" collapsed="false">
      <c r="A97" s="8">
        <f t="array" ref="A97">IFERROR(INDEX(Materiales!$A$2:$A$300,MATCH(0,COUNTIF($A$1:A96,Materiales!$A$2:$A$300)+IF(Materiales!$A$2:$A$300="",1,0),0)),"")</f>
      </c>
      <c r="B97" s="8">
        <f t="array" ref="B97">IFERROR(INDEX(Colecciones!$A$2:$A$300,MATCH(0,COUNTIF($B$1:B96,Colecciones!$A$2:$A$300)+IF(Colecciones!$A$2:$A$300="",1,0),0)),"")</f>
      </c>
    </row>
    <row r="98" customFormat="false" ht="12.8" hidden="false" customHeight="false" outlineLevel="0" collapsed="false">
      <c r="A98" s="8">
        <f t="array" ref="A98">IFERROR(INDEX(Materiales!$A$2:$A$300,MATCH(0,COUNTIF($A$1:A97,Materiales!$A$2:$A$300)+IF(Materiales!$A$2:$A$300="",1,0),0)),"")</f>
      </c>
      <c r="B98" s="8">
        <f t="array" ref="B98">IFERROR(INDEX(Colecciones!$A$2:$A$300,MATCH(0,COUNTIF($B$1:B97,Colecciones!$A$2:$A$300)+IF(Colecciones!$A$2:$A$300="",1,0),0)),"")</f>
      </c>
    </row>
    <row r="99" customFormat="false" ht="12.8" hidden="false" customHeight="false" outlineLevel="0" collapsed="false">
      <c r="A99" s="8">
        <f t="array" ref="A99">IFERROR(INDEX(Materiales!$A$2:$A$300,MATCH(0,COUNTIF($A$1:A98,Materiales!$A$2:$A$300)+IF(Materiales!$A$2:$A$300="",1,0),0)),"")</f>
      </c>
      <c r="B99" s="8">
        <f t="array" ref="B99">IFERROR(INDEX(Colecciones!$A$2:$A$300,MATCH(0,COUNTIF($B$1:B98,Colecciones!$A$2:$A$300)+IF(Colecciones!$A$2:$A$300="",1,0),0)),"")</f>
      </c>
    </row>
    <row r="100" customFormat="false" ht="12.8" hidden="false" customHeight="false" outlineLevel="0" collapsed="false">
      <c r="A100" s="8">
        <f t="array" ref="A100">IFERROR(INDEX(Materiales!$A$2:$A$300,MATCH(0,COUNTIF($A$1:A99,Materiales!$A$2:$A$300)+IF(Materiales!$A$2:$A$300="",1,0),0)),"")</f>
      </c>
      <c r="B100" s="8">
        <f t="array" ref="B100">IFERROR(INDEX(Colecciones!$A$2:$A$300,MATCH(0,COUNTIF($B$1:B99,Colecciones!$A$2:$A$300)+IF(Colecciones!$A$2:$A$300="",1,0),0)),"")</f>
      </c>
    </row>
    <row r="101" customFormat="false" ht="12.8" hidden="false" customHeight="false" outlineLevel="0" collapsed="false">
      <c r="A101" s="8">
        <f t="array" ref="A101">IFERROR(INDEX(Materiales!$A$2:$A$300,MATCH(0,COUNTIF($A$1:A100,Materiales!$A$2:$A$300)+IF(Materiales!$A$2:$A$300="",1,0),0)),"")</f>
      </c>
      <c r="B101" s="8">
        <f t="array" ref="B101">IFERROR(INDEX(Colecciones!$A$2:$A$300,MATCH(0,COUNTIF($B$1:B100,Colecciones!$A$2:$A$300)+IF(Colecciones!$A$2:$A$300="",1,0),0)),"")</f>
      </c>
    </row>
    <row r="102" customFormat="false" ht="12.8" hidden="false" customHeight="false" outlineLevel="0" collapsed="false">
      <c r="A102" s="8">
        <f t="array" ref="A102">IFERROR(INDEX(Materiales!$A$2:$A$300,MATCH(0,COUNTIF($A$1:A101,Materiales!$A$2:$A$300)+IF(Materiales!$A$2:$A$300="",1,0),0)),"")</f>
      </c>
      <c r="B102" s="8">
        <f t="array" ref="B102">IFERROR(INDEX(Colecciones!$A$2:$A$300,MATCH(0,COUNTIF($B$1:B101,Colecciones!$A$2:$A$300)+IF(Colecciones!$A$2:$A$300="",1,0),0)),"")</f>
      </c>
    </row>
    <row r="103" customFormat="false" ht="12.8" hidden="false" customHeight="false" outlineLevel="0" collapsed="false">
      <c r="A103" s="8">
        <f t="array" ref="A103">IFERROR(INDEX(Materiales!$A$2:$A$300,MATCH(0,COUNTIF($A$1:A102,Materiales!$A$2:$A$300)+IF(Materiales!$A$2:$A$300="",1,0),0)),"")</f>
      </c>
      <c r="B103" s="8">
        <f t="array" ref="B103">IFERROR(INDEX(Colecciones!$A$2:$A$300,MATCH(0,COUNTIF($B$1:B102,Colecciones!$A$2:$A$300)+IF(Colecciones!$A$2:$A$300="",1,0),0)),"")</f>
      </c>
    </row>
    <row r="104" customFormat="false" ht="12.8" hidden="false" customHeight="false" outlineLevel="0" collapsed="false">
      <c r="A104" s="8">
        <f t="array" ref="A104">IFERROR(INDEX(Materiales!$A$2:$A$300,MATCH(0,COUNTIF($A$1:A103,Materiales!$A$2:$A$300)+IF(Materiales!$A$2:$A$300="",1,0),0)),"")</f>
      </c>
      <c r="B104" s="8">
        <f t="array" ref="B104">IFERROR(INDEX(Colecciones!$A$2:$A$300,MATCH(0,COUNTIF($B$1:B103,Colecciones!$A$2:$A$300)+IF(Colecciones!$A$2:$A$300="",1,0),0)),"")</f>
      </c>
    </row>
    <row r="105" customFormat="false" ht="12.8" hidden="false" customHeight="false" outlineLevel="0" collapsed="false">
      <c r="A105" s="8">
        <f t="array" ref="A105">IFERROR(INDEX(Materiales!$A$2:$A$300,MATCH(0,COUNTIF($A$1:A104,Materiales!$A$2:$A$300)+IF(Materiales!$A$2:$A$300="",1,0),0)),"")</f>
      </c>
      <c r="B105" s="8">
        <f t="array" ref="B105">IFERROR(INDEX(Colecciones!$A$2:$A$300,MATCH(0,COUNTIF($B$1:B104,Colecciones!$A$2:$A$300)+IF(Colecciones!$A$2:$A$300="",1,0),0)),"")</f>
      </c>
    </row>
    <row r="106" customFormat="false" ht="12.8" hidden="false" customHeight="false" outlineLevel="0" collapsed="false">
      <c r="A106" s="8">
        <f t="array" ref="A106">IFERROR(INDEX(Materiales!$A$2:$A$300,MATCH(0,COUNTIF($A$1:A105,Materiales!$A$2:$A$300)+IF(Materiales!$A$2:$A$300="",1,0),0)),"")</f>
      </c>
      <c r="B106" s="8">
        <f t="array" ref="B106">IFERROR(INDEX(Colecciones!$A$2:$A$300,MATCH(0,COUNTIF($B$1:B105,Colecciones!$A$2:$A$300)+IF(Colecciones!$A$2:$A$300="",1,0),0)),"")</f>
      </c>
    </row>
    <row r="107" customFormat="false" ht="12.8" hidden="false" customHeight="false" outlineLevel="0" collapsed="false">
      <c r="A107" s="8">
        <f t="array" ref="A107">IFERROR(INDEX(Materiales!$A$2:$A$300,MATCH(0,COUNTIF($A$1:A106,Materiales!$A$2:$A$300)+IF(Materiales!$A$2:$A$300="",1,0),0)),"")</f>
      </c>
      <c r="B107" s="8">
        <f t="array" ref="B107">IFERROR(INDEX(Colecciones!$A$2:$A$300,MATCH(0,COUNTIF($B$1:B106,Colecciones!$A$2:$A$300)+IF(Colecciones!$A$2:$A$300="",1,0),0)),"")</f>
      </c>
    </row>
    <row r="108" customFormat="false" ht="12.8" hidden="false" customHeight="false" outlineLevel="0" collapsed="false">
      <c r="A108" s="8">
        <f t="array" ref="A108">IFERROR(INDEX(Materiales!$A$2:$A$300,MATCH(0,COUNTIF($A$1:A107,Materiales!$A$2:$A$300)+IF(Materiales!$A$2:$A$300="",1,0),0)),"")</f>
      </c>
      <c r="B108" s="8">
        <f t="array" ref="B108">IFERROR(INDEX(Colecciones!$A$2:$A$300,MATCH(0,COUNTIF($B$1:B107,Colecciones!$A$2:$A$300)+IF(Colecciones!$A$2:$A$300="",1,0),0)),"")</f>
      </c>
    </row>
    <row r="109" customFormat="false" ht="12.8" hidden="false" customHeight="false" outlineLevel="0" collapsed="false">
      <c r="A109" s="8">
        <f t="array" ref="A109">IFERROR(INDEX(Materiales!$A$2:$A$300,MATCH(0,COUNTIF($A$1:A108,Materiales!$A$2:$A$300)+IF(Materiales!$A$2:$A$300="",1,0),0)),"")</f>
      </c>
      <c r="B109" s="8">
        <f t="array" ref="B109">IFERROR(INDEX(Colecciones!$A$2:$A$300,MATCH(0,COUNTIF($B$1:B108,Colecciones!$A$2:$A$300)+IF(Colecciones!$A$2:$A$300="",1,0),0)),"")</f>
      </c>
    </row>
    <row r="110" customFormat="false" ht="12.8" hidden="false" customHeight="false" outlineLevel="0" collapsed="false">
      <c r="A110" s="8">
        <f t="array" ref="A110">IFERROR(INDEX(Materiales!$A$2:$A$300,MATCH(0,COUNTIF($A$1:A109,Materiales!$A$2:$A$300)+IF(Materiales!$A$2:$A$300="",1,0),0)),"")</f>
      </c>
      <c r="B110" s="8">
        <f t="array" ref="B110">IFERROR(INDEX(Colecciones!$A$2:$A$300,MATCH(0,COUNTIF($B$1:B109,Colecciones!$A$2:$A$300)+IF(Colecciones!$A$2:$A$300="",1,0),0)),"")</f>
      </c>
    </row>
    <row r="111" customFormat="false" ht="12.8" hidden="false" customHeight="false" outlineLevel="0" collapsed="false">
      <c r="A111" s="8">
        <f t="array" ref="A111">IFERROR(INDEX(Materiales!$A$2:$A$300,MATCH(0,COUNTIF($A$1:A110,Materiales!$A$2:$A$300)+IF(Materiales!$A$2:$A$300="",1,0),0)),"")</f>
      </c>
      <c r="B111" s="8">
        <f t="array" ref="B111">IFERROR(INDEX(Colecciones!$A$2:$A$300,MATCH(0,COUNTIF($B$1:B110,Colecciones!$A$2:$A$300)+IF(Colecciones!$A$2:$A$300="",1,0),0)),"")</f>
      </c>
    </row>
    <row r="112" customFormat="false" ht="12.8" hidden="false" customHeight="false" outlineLevel="0" collapsed="false">
      <c r="A112" s="8">
        <f t="array" ref="A112">IFERROR(INDEX(Materiales!$A$2:$A$300,MATCH(0,COUNTIF($A$1:A111,Materiales!$A$2:$A$300)+IF(Materiales!$A$2:$A$300="",1,0),0)),"")</f>
      </c>
      <c r="B112" s="8">
        <f t="array" ref="B112">IFERROR(INDEX(Colecciones!$A$2:$A$300,MATCH(0,COUNTIF($B$1:B111,Colecciones!$A$2:$A$300)+IF(Colecciones!$A$2:$A$300="",1,0),0)),"")</f>
      </c>
    </row>
    <row r="113" customFormat="false" ht="12.8" hidden="false" customHeight="false" outlineLevel="0" collapsed="false">
      <c r="A113" s="8">
        <f t="array" ref="A113">IFERROR(INDEX(Materiales!$A$2:$A$300,MATCH(0,COUNTIF($A$1:A112,Materiales!$A$2:$A$300)+IF(Materiales!$A$2:$A$300="",1,0),0)),"")</f>
      </c>
      <c r="B113" s="8">
        <f t="array" ref="B113">IFERROR(INDEX(Colecciones!$A$2:$A$300,MATCH(0,COUNTIF($B$1:B112,Colecciones!$A$2:$A$300)+IF(Colecciones!$A$2:$A$300="",1,0),0)),"")</f>
      </c>
    </row>
    <row r="114" customFormat="false" ht="12.8" hidden="false" customHeight="false" outlineLevel="0" collapsed="false">
      <c r="A114" s="8">
        <f t="array" ref="A114">IFERROR(INDEX(Materiales!$A$2:$A$300,MATCH(0,COUNTIF($A$1:A113,Materiales!$A$2:$A$300)+IF(Materiales!$A$2:$A$300="",1,0),0)),"")</f>
      </c>
      <c r="B114" s="8">
        <f t="array" ref="B114">IFERROR(INDEX(Colecciones!$A$2:$A$300,MATCH(0,COUNTIF($B$1:B113,Colecciones!$A$2:$A$300)+IF(Colecciones!$A$2:$A$300="",1,0),0)),"")</f>
      </c>
    </row>
    <row r="115" customFormat="false" ht="12.8" hidden="false" customHeight="false" outlineLevel="0" collapsed="false">
      <c r="A115" s="8">
        <f t="array" ref="A115">IFERROR(INDEX(Materiales!$A$2:$A$300,MATCH(0,COUNTIF($A$1:A114,Materiales!$A$2:$A$300)+IF(Materiales!$A$2:$A$300="",1,0),0)),"")</f>
      </c>
      <c r="B115" s="8">
        <f t="array" ref="B115">IFERROR(INDEX(Colecciones!$A$2:$A$300,MATCH(0,COUNTIF($B$1:B114,Colecciones!$A$2:$A$300)+IF(Colecciones!$A$2:$A$300="",1,0),0)),"")</f>
      </c>
    </row>
    <row r="116" customFormat="false" ht="12.8" hidden="false" customHeight="false" outlineLevel="0" collapsed="false">
      <c r="A116" s="8">
        <f t="array" ref="A116">IFERROR(INDEX(Materiales!$A$2:$A$300,MATCH(0,COUNTIF($A$1:A115,Materiales!$A$2:$A$300)+IF(Materiales!$A$2:$A$300="",1,0),0)),"")</f>
      </c>
      <c r="B116" s="8">
        <f t="array" ref="B116">IFERROR(INDEX(Colecciones!$A$2:$A$300,MATCH(0,COUNTIF($B$1:B115,Colecciones!$A$2:$A$300)+IF(Colecciones!$A$2:$A$300="",1,0),0)),"")</f>
      </c>
    </row>
    <row r="117" customFormat="false" ht="12.8" hidden="false" customHeight="false" outlineLevel="0" collapsed="false">
      <c r="A117" s="8">
        <f t="array" ref="A117">IFERROR(INDEX(Materiales!$A$2:$A$300,MATCH(0,COUNTIF($A$1:A116,Materiales!$A$2:$A$300)+IF(Materiales!$A$2:$A$300="",1,0),0)),"")</f>
      </c>
      <c r="B117" s="8">
        <f t="array" ref="B117">IFERROR(INDEX(Colecciones!$A$2:$A$300,MATCH(0,COUNTIF($B$1:B116,Colecciones!$A$2:$A$300)+IF(Colecciones!$A$2:$A$300="",1,0),0)),"")</f>
      </c>
    </row>
    <row r="118" customFormat="false" ht="12.8" hidden="false" customHeight="false" outlineLevel="0" collapsed="false">
      <c r="A118" s="8">
        <f t="array" ref="A118">IFERROR(INDEX(Materiales!$A$2:$A$300,MATCH(0,COUNTIF($A$1:A117,Materiales!$A$2:$A$300)+IF(Materiales!$A$2:$A$300="",1,0),0)),"")</f>
      </c>
      <c r="B118" s="8">
        <f t="array" ref="B118">IFERROR(INDEX(Colecciones!$A$2:$A$300,MATCH(0,COUNTIF($B$1:B117,Colecciones!$A$2:$A$300)+IF(Colecciones!$A$2:$A$300="",1,0),0)),"")</f>
      </c>
    </row>
    <row r="119" customFormat="false" ht="12.8" hidden="false" customHeight="false" outlineLevel="0" collapsed="false">
      <c r="A119" s="8">
        <f t="array" ref="A119">IFERROR(INDEX(Materiales!$A$2:$A$300,MATCH(0,COUNTIF($A$1:A118,Materiales!$A$2:$A$300)+IF(Materiales!$A$2:$A$300="",1,0),0)),"")</f>
      </c>
      <c r="B119" s="8">
        <f t="array" ref="B119">IFERROR(INDEX(Colecciones!$A$2:$A$300,MATCH(0,COUNTIF($B$1:B118,Colecciones!$A$2:$A$300)+IF(Colecciones!$A$2:$A$300="",1,0),0)),"")</f>
      </c>
    </row>
    <row r="120" customFormat="false" ht="12.8" hidden="false" customHeight="false" outlineLevel="0" collapsed="false">
      <c r="A120" s="8">
        <f t="array" ref="A120">IFERROR(INDEX(Materiales!$A$2:$A$300,MATCH(0,COUNTIF($A$1:A119,Materiales!$A$2:$A$300)+IF(Materiales!$A$2:$A$300="",1,0),0)),"")</f>
      </c>
      <c r="B120" s="8">
        <f t="array" ref="B120">IFERROR(INDEX(Colecciones!$A$2:$A$300,MATCH(0,COUNTIF($B$1:B119,Colecciones!$A$2:$A$300)+IF(Colecciones!$A$2:$A$300="",1,0),0)),"")</f>
      </c>
    </row>
    <row r="121" customFormat="false" ht="12.8" hidden="false" customHeight="false" outlineLevel="0" collapsed="false">
      <c r="A121" s="8">
        <f t="array" ref="A121">IFERROR(INDEX(Materiales!$A$2:$A$300,MATCH(0,COUNTIF($A$1:A120,Materiales!$A$2:$A$300)+IF(Materiales!$A$2:$A$300="",1,0),0)),"")</f>
      </c>
      <c r="B121" s="8">
        <f t="array" ref="B121">IFERROR(INDEX(Colecciones!$A$2:$A$300,MATCH(0,COUNTIF($B$1:B120,Colecciones!$A$2:$A$300)+IF(Colecciones!$A$2:$A$300="",1,0),0)),"")</f>
      </c>
    </row>
    <row r="122" customFormat="false" ht="12.8" hidden="false" customHeight="false" outlineLevel="0" collapsed="false">
      <c r="A122" s="8">
        <f t="array" ref="A122">IFERROR(INDEX(Materiales!$A$2:$A$300,MATCH(0,COUNTIF($A$1:A121,Materiales!$A$2:$A$300)+IF(Materiales!$A$2:$A$300="",1,0),0)),"")</f>
      </c>
      <c r="B122" s="8">
        <f t="array" ref="B122">IFERROR(INDEX(Colecciones!$A$2:$A$300,MATCH(0,COUNTIF($B$1:B121,Colecciones!$A$2:$A$300)+IF(Colecciones!$A$2:$A$300="",1,0),0)),"")</f>
      </c>
    </row>
    <row r="123" customFormat="false" ht="12.8" hidden="false" customHeight="false" outlineLevel="0" collapsed="false">
      <c r="A123" s="8">
        <f t="array" ref="A123">IFERROR(INDEX(Materiales!$A$2:$A$300,MATCH(0,COUNTIF($A$1:A122,Materiales!$A$2:$A$300)+IF(Materiales!$A$2:$A$300="",1,0),0)),"")</f>
      </c>
      <c r="B123" s="8">
        <f t="array" ref="B123">IFERROR(INDEX(Colecciones!$A$2:$A$300,MATCH(0,COUNTIF($B$1:B122,Colecciones!$A$2:$A$300)+IF(Colecciones!$A$2:$A$300="",1,0),0)),"")</f>
      </c>
    </row>
    <row r="124" customFormat="false" ht="12.8" hidden="false" customHeight="false" outlineLevel="0" collapsed="false">
      <c r="A124" s="8">
        <f t="array" ref="A124">IFERROR(INDEX(Materiales!$A$2:$A$300,MATCH(0,COUNTIF($A$1:A123,Materiales!$A$2:$A$300)+IF(Materiales!$A$2:$A$300="",1,0),0)),"")</f>
      </c>
      <c r="B124" s="8">
        <f t="array" ref="B124">IFERROR(INDEX(Colecciones!$A$2:$A$300,MATCH(0,COUNTIF($B$1:B123,Colecciones!$A$2:$A$300)+IF(Colecciones!$A$2:$A$300="",1,0),0)),"")</f>
      </c>
    </row>
    <row r="125" customFormat="false" ht="12.8" hidden="false" customHeight="false" outlineLevel="0" collapsed="false">
      <c r="A125" s="8">
        <f t="array" ref="A125">IFERROR(INDEX(Materiales!$A$2:$A$300,MATCH(0,COUNTIF($A$1:A124,Materiales!$A$2:$A$300)+IF(Materiales!$A$2:$A$300="",1,0),0)),"")</f>
      </c>
      <c r="B125" s="8">
        <f t="array" ref="B125">IFERROR(INDEX(Colecciones!$A$2:$A$300,MATCH(0,COUNTIF($B$1:B124,Colecciones!$A$2:$A$300)+IF(Colecciones!$A$2:$A$300="",1,0),0)),"")</f>
      </c>
    </row>
    <row r="126" customFormat="false" ht="12.8" hidden="false" customHeight="false" outlineLevel="0" collapsed="false">
      <c r="A126" s="8">
        <f t="array" ref="A126">IFERROR(INDEX(Materiales!$A$2:$A$300,MATCH(0,COUNTIF($A$1:A125,Materiales!$A$2:$A$300)+IF(Materiales!$A$2:$A$300="",1,0),0)),"")</f>
      </c>
      <c r="B126" s="8">
        <f t="array" ref="B126">IFERROR(INDEX(Colecciones!$A$2:$A$300,MATCH(0,COUNTIF($B$1:B125,Colecciones!$A$2:$A$300)+IF(Colecciones!$A$2:$A$300="",1,0),0)),"")</f>
      </c>
    </row>
    <row r="127" customFormat="false" ht="12.8" hidden="false" customHeight="false" outlineLevel="0" collapsed="false">
      <c r="A127" s="8">
        <f t="array" ref="A127">IFERROR(INDEX(Materiales!$A$2:$A$300,MATCH(0,COUNTIF($A$1:A126,Materiales!$A$2:$A$300)+IF(Materiales!$A$2:$A$300="",1,0),0)),"")</f>
      </c>
      <c r="B127" s="8">
        <f t="array" ref="B127">IFERROR(INDEX(Colecciones!$A$2:$A$300,MATCH(0,COUNTIF($B$1:B126,Colecciones!$A$2:$A$300)+IF(Colecciones!$A$2:$A$300="",1,0),0)),"")</f>
      </c>
    </row>
    <row r="128" customFormat="false" ht="12.8" hidden="false" customHeight="false" outlineLevel="0" collapsed="false">
      <c r="A128" s="8">
        <f t="array" ref="A128">IFERROR(INDEX(Materiales!$A$2:$A$300,MATCH(0,COUNTIF($A$1:A127,Materiales!$A$2:$A$300)+IF(Materiales!$A$2:$A$300="",1,0),0)),"")</f>
      </c>
      <c r="B128" s="8">
        <f t="array" ref="B128">IFERROR(INDEX(Colecciones!$A$2:$A$300,MATCH(0,COUNTIF($B$1:B127,Colecciones!$A$2:$A$300)+IF(Colecciones!$A$2:$A$300="",1,0),0)),"")</f>
      </c>
    </row>
    <row r="129" customFormat="false" ht="12.8" hidden="false" customHeight="false" outlineLevel="0" collapsed="false">
      <c r="A129" s="8">
        <f t="array" ref="A129">IFERROR(INDEX(Materiales!$A$2:$A$300,MATCH(0,COUNTIF($A$1:A128,Materiales!$A$2:$A$300)+IF(Materiales!$A$2:$A$300="",1,0),0)),"")</f>
      </c>
      <c r="B129" s="8">
        <f t="array" ref="B129">IFERROR(INDEX(Colecciones!$A$2:$A$300,MATCH(0,COUNTIF($B$1:B128,Colecciones!$A$2:$A$300)+IF(Colecciones!$A$2:$A$300="",1,0),0)),"")</f>
      </c>
    </row>
    <row r="130" customFormat="false" ht="12.8" hidden="false" customHeight="false" outlineLevel="0" collapsed="false">
      <c r="A130" s="8">
        <f t="array" ref="A130">IFERROR(INDEX(Materiales!$A$2:$A$300,MATCH(0,COUNTIF($A$1:A129,Materiales!$A$2:$A$300)+IF(Materiales!$A$2:$A$300="",1,0),0)),"")</f>
      </c>
      <c r="B130" s="8">
        <f t="array" ref="B130">IFERROR(INDEX(Colecciones!$A$2:$A$300,MATCH(0,COUNTIF($B$1:B129,Colecciones!$A$2:$A$300)+IF(Colecciones!$A$2:$A$300="",1,0),0)),"")</f>
      </c>
    </row>
    <row r="131" customFormat="false" ht="12.8" hidden="false" customHeight="false" outlineLevel="0" collapsed="false">
      <c r="A131" s="8">
        <f t="array" ref="A131">IFERROR(INDEX(Materiales!$A$2:$A$300,MATCH(0,COUNTIF($A$1:A130,Materiales!$A$2:$A$300)+IF(Materiales!$A$2:$A$300="",1,0),0)),"")</f>
      </c>
      <c r="B131" s="8">
        <f t="array" ref="B131">IFERROR(INDEX(Colecciones!$A$2:$A$300,MATCH(0,COUNTIF($B$1:B130,Colecciones!$A$2:$A$300)+IF(Colecciones!$A$2:$A$300="",1,0),0)),"")</f>
      </c>
    </row>
    <row r="132" customFormat="false" ht="12.8" hidden="false" customHeight="false" outlineLevel="0" collapsed="false">
      <c r="A132" s="8">
        <f t="array" ref="A132">IFERROR(INDEX(Materiales!$A$2:$A$300,MATCH(0,COUNTIF($A$1:A131,Materiales!$A$2:$A$300)+IF(Materiales!$A$2:$A$300="",1,0),0)),"")</f>
      </c>
      <c r="B132" s="8">
        <f t="array" ref="B132">IFERROR(INDEX(Colecciones!$A$2:$A$300,MATCH(0,COUNTIF($B$1:B131,Colecciones!$A$2:$A$300)+IF(Colecciones!$A$2:$A$300="",1,0),0)),"")</f>
      </c>
    </row>
    <row r="133" customFormat="false" ht="12.8" hidden="false" customHeight="false" outlineLevel="0" collapsed="false">
      <c r="A133" s="8">
        <f t="array" ref="A133">IFERROR(INDEX(Materiales!$A$2:$A$300,MATCH(0,COUNTIF($A$1:A132,Materiales!$A$2:$A$300)+IF(Materiales!$A$2:$A$300="",1,0),0)),"")</f>
      </c>
      <c r="B133" s="8">
        <f t="array" ref="B133">IFERROR(INDEX(Colecciones!$A$2:$A$300,MATCH(0,COUNTIF($B$1:B132,Colecciones!$A$2:$A$300)+IF(Colecciones!$A$2:$A$300="",1,0),0)),"")</f>
      </c>
    </row>
    <row r="134" customFormat="false" ht="12.8" hidden="false" customHeight="false" outlineLevel="0" collapsed="false">
      <c r="A134" s="8">
        <f t="array" ref="A134">IFERROR(INDEX(Materiales!$A$2:$A$300,MATCH(0,COUNTIF($A$1:A133,Materiales!$A$2:$A$300)+IF(Materiales!$A$2:$A$300="",1,0),0)),"")</f>
      </c>
      <c r="B134" s="8">
        <f t="array" ref="B134">IFERROR(INDEX(Colecciones!$A$2:$A$300,MATCH(0,COUNTIF($B$1:B133,Colecciones!$A$2:$A$300)+IF(Colecciones!$A$2:$A$300="",1,0),0)),"")</f>
      </c>
    </row>
    <row r="135" customFormat="false" ht="12.8" hidden="false" customHeight="false" outlineLevel="0" collapsed="false">
      <c r="A135" s="8">
        <f t="array" ref="A135">IFERROR(INDEX(Materiales!$A$2:$A$300,MATCH(0,COUNTIF($A$1:A134,Materiales!$A$2:$A$300)+IF(Materiales!$A$2:$A$300="",1,0),0)),"")</f>
      </c>
      <c r="B135" s="8">
        <f t="array" ref="B135">IFERROR(INDEX(Colecciones!$A$2:$A$300,MATCH(0,COUNTIF($B$1:B134,Colecciones!$A$2:$A$300)+IF(Colecciones!$A$2:$A$300="",1,0),0)),"")</f>
      </c>
    </row>
    <row r="136" customFormat="false" ht="12.8" hidden="false" customHeight="false" outlineLevel="0" collapsed="false">
      <c r="A136" s="8">
        <f t="array" ref="A136">IFERROR(INDEX(Materiales!$A$2:$A$300,MATCH(0,COUNTIF($A$1:A135,Materiales!$A$2:$A$300)+IF(Materiales!$A$2:$A$300="",1,0),0)),"")</f>
      </c>
      <c r="B136" s="8">
        <f t="array" ref="B136">IFERROR(INDEX(Colecciones!$A$2:$A$300,MATCH(0,COUNTIF($B$1:B135,Colecciones!$A$2:$A$300)+IF(Colecciones!$A$2:$A$300="",1,0),0)),"")</f>
      </c>
    </row>
    <row r="137" customFormat="false" ht="12.8" hidden="false" customHeight="false" outlineLevel="0" collapsed="false">
      <c r="A137" s="8">
        <f t="array" ref="A137">IFERROR(INDEX(Materiales!$A$2:$A$300,MATCH(0,COUNTIF($A$1:A136,Materiales!$A$2:$A$300)+IF(Materiales!$A$2:$A$300="",1,0),0)),"")</f>
      </c>
      <c r="B137" s="8">
        <f t="array" ref="B137">IFERROR(INDEX(Colecciones!$A$2:$A$300,MATCH(0,COUNTIF($B$1:B136,Colecciones!$A$2:$A$300)+IF(Colecciones!$A$2:$A$300="",1,0),0)),"")</f>
      </c>
    </row>
    <row r="138" customFormat="false" ht="12.8" hidden="false" customHeight="false" outlineLevel="0" collapsed="false">
      <c r="A138" s="8">
        <f t="array" ref="A138">IFERROR(INDEX(Materiales!$A$2:$A$300,MATCH(0,COUNTIF($A$1:A137,Materiales!$A$2:$A$300)+IF(Materiales!$A$2:$A$300="",1,0),0)),"")</f>
      </c>
      <c r="B138" s="8">
        <f t="array" ref="B138">IFERROR(INDEX(Colecciones!$A$2:$A$300,MATCH(0,COUNTIF($B$1:B137,Colecciones!$A$2:$A$300)+IF(Colecciones!$A$2:$A$300="",1,0),0)),"")</f>
      </c>
    </row>
    <row r="139" customFormat="false" ht="12.8" hidden="false" customHeight="false" outlineLevel="0" collapsed="false">
      <c r="A139" s="8">
        <f t="array" ref="A139">IFERROR(INDEX(Materiales!$A$2:$A$300,MATCH(0,COUNTIF($A$1:A138,Materiales!$A$2:$A$300)+IF(Materiales!$A$2:$A$300="",1,0),0)),"")</f>
      </c>
      <c r="B139" s="8">
        <f t="array" ref="B139">IFERROR(INDEX(Colecciones!$A$2:$A$300,MATCH(0,COUNTIF($B$1:B138,Colecciones!$A$2:$A$300)+IF(Colecciones!$A$2:$A$300="",1,0),0)),"")</f>
      </c>
    </row>
    <row r="140" customFormat="false" ht="12.8" hidden="false" customHeight="false" outlineLevel="0" collapsed="false">
      <c r="A140" s="8">
        <f t="array" ref="A140">IFERROR(INDEX(Materiales!$A$2:$A$300,MATCH(0,COUNTIF($A$1:A139,Materiales!$A$2:$A$300)+IF(Materiales!$A$2:$A$300="",1,0),0)),"")</f>
      </c>
      <c r="B140" s="8">
        <f t="array" ref="B140">IFERROR(INDEX(Colecciones!$A$2:$A$300,MATCH(0,COUNTIF($B$1:B139,Colecciones!$A$2:$A$300)+IF(Colecciones!$A$2:$A$300="",1,0),0)),"")</f>
      </c>
    </row>
    <row r="141" customFormat="false" ht="12.8" hidden="false" customHeight="false" outlineLevel="0" collapsed="false">
      <c r="A141" s="8">
        <f t="array" ref="A141">IFERROR(INDEX(Materiales!$A$2:$A$300,MATCH(0,COUNTIF($A$1:A140,Materiales!$A$2:$A$300)+IF(Materiales!$A$2:$A$300="",1,0),0)),"")</f>
      </c>
      <c r="B141" s="8">
        <f t="array" ref="B141">IFERROR(INDEX(Colecciones!$A$2:$A$300,MATCH(0,COUNTIF($B$1:B140,Colecciones!$A$2:$A$300)+IF(Colecciones!$A$2:$A$300="",1,0),0)),"")</f>
      </c>
    </row>
    <row r="142" customFormat="false" ht="12.8" hidden="false" customHeight="false" outlineLevel="0" collapsed="false">
      <c r="A142" s="8">
        <f t="array" ref="A142">IFERROR(INDEX(Materiales!$A$2:$A$300,MATCH(0,COUNTIF($A$1:A141,Materiales!$A$2:$A$300)+IF(Materiales!$A$2:$A$300="",1,0),0)),"")</f>
      </c>
      <c r="B142" s="8">
        <f t="array" ref="B142">IFERROR(INDEX(Colecciones!$A$2:$A$300,MATCH(0,COUNTIF($B$1:B141,Colecciones!$A$2:$A$300)+IF(Colecciones!$A$2:$A$300="",1,0),0)),"")</f>
      </c>
    </row>
    <row r="143" customFormat="false" ht="12.8" hidden="false" customHeight="false" outlineLevel="0" collapsed="false">
      <c r="A143" s="8">
        <f t="array" ref="A143">IFERROR(INDEX(Materiales!$A$2:$A$300,MATCH(0,COUNTIF($A$1:A142,Materiales!$A$2:$A$300)+IF(Materiales!$A$2:$A$300="",1,0),0)),"")</f>
      </c>
      <c r="B143" s="8">
        <f t="array" ref="B143">IFERROR(INDEX(Colecciones!$A$2:$A$300,MATCH(0,COUNTIF($B$1:B142,Colecciones!$A$2:$A$300)+IF(Colecciones!$A$2:$A$300="",1,0),0)),"")</f>
      </c>
    </row>
    <row r="144" customFormat="false" ht="12.8" hidden="false" customHeight="false" outlineLevel="0" collapsed="false">
      <c r="A144" s="8">
        <f t="array" ref="A144">IFERROR(INDEX(Materiales!$A$2:$A$300,MATCH(0,COUNTIF($A$1:A143,Materiales!$A$2:$A$300)+IF(Materiales!$A$2:$A$300="",1,0),0)),"")</f>
      </c>
      <c r="B144" s="8">
        <f t="array" ref="B144">IFERROR(INDEX(Colecciones!$A$2:$A$300,MATCH(0,COUNTIF($B$1:B143,Colecciones!$A$2:$A$300)+IF(Colecciones!$A$2:$A$300="",1,0),0)),"")</f>
      </c>
    </row>
    <row r="145" customFormat="false" ht="12.8" hidden="false" customHeight="false" outlineLevel="0" collapsed="false">
      <c r="A145" s="8">
        <f t="array" ref="A145">IFERROR(INDEX(Materiales!$A$2:$A$300,MATCH(0,COUNTIF($A$1:A144,Materiales!$A$2:$A$300)+IF(Materiales!$A$2:$A$300="",1,0),0)),"")</f>
      </c>
      <c r="B145" s="8">
        <f t="array" ref="B145">IFERROR(INDEX(Colecciones!$A$2:$A$300,MATCH(0,COUNTIF($B$1:B144,Colecciones!$A$2:$A$300)+IF(Colecciones!$A$2:$A$300="",1,0),0)),"")</f>
      </c>
    </row>
    <row r="146" customFormat="false" ht="12.8" hidden="false" customHeight="false" outlineLevel="0" collapsed="false">
      <c r="A146" s="8">
        <f t="array" ref="A146">IFERROR(INDEX(Materiales!$A$2:$A$300,MATCH(0,COUNTIF($A$1:A145,Materiales!$A$2:$A$300)+IF(Materiales!$A$2:$A$300="",1,0),0)),"")</f>
      </c>
      <c r="B146" s="8">
        <f t="array" ref="B146">IFERROR(INDEX(Colecciones!$A$2:$A$300,MATCH(0,COUNTIF($B$1:B145,Colecciones!$A$2:$A$300)+IF(Colecciones!$A$2:$A$300="",1,0),0)),"")</f>
      </c>
    </row>
    <row r="147" customFormat="false" ht="12.8" hidden="false" customHeight="false" outlineLevel="0" collapsed="false">
      <c r="A147" s="8">
        <f t="array" ref="A147">IFERROR(INDEX(Materiales!$A$2:$A$300,MATCH(0,COUNTIF($A$1:A146,Materiales!$A$2:$A$300)+IF(Materiales!$A$2:$A$300="",1,0),0)),"")</f>
      </c>
      <c r="B147" s="8">
        <f t="array" ref="B147">IFERROR(INDEX(Colecciones!$A$2:$A$300,MATCH(0,COUNTIF($B$1:B146,Colecciones!$A$2:$A$300)+IF(Colecciones!$A$2:$A$300="",1,0),0)),"")</f>
      </c>
    </row>
    <row r="148" customFormat="false" ht="12.8" hidden="false" customHeight="false" outlineLevel="0" collapsed="false">
      <c r="A148" s="8">
        <f t="array" ref="A148">IFERROR(INDEX(Materiales!$A$2:$A$300,MATCH(0,COUNTIF($A$1:A147,Materiales!$A$2:$A$300)+IF(Materiales!$A$2:$A$300="",1,0),0)),"")</f>
      </c>
      <c r="B148" s="8">
        <f t="array" ref="B148">IFERROR(INDEX(Colecciones!$A$2:$A$300,MATCH(0,COUNTIF($B$1:B147,Colecciones!$A$2:$A$300)+IF(Colecciones!$A$2:$A$300="",1,0),0)),"")</f>
      </c>
    </row>
    <row r="149" customFormat="false" ht="12.8" hidden="false" customHeight="false" outlineLevel="0" collapsed="false">
      <c r="A149" s="8">
        <f t="array" ref="A149">IFERROR(INDEX(Materiales!$A$2:$A$300,MATCH(0,COUNTIF($A$1:A148,Materiales!$A$2:$A$300)+IF(Materiales!$A$2:$A$300="",1,0),0)),"")</f>
      </c>
      <c r="B149" s="8">
        <f t="array" ref="B149">IFERROR(INDEX(Colecciones!$A$2:$A$300,MATCH(0,COUNTIF($B$1:B148,Colecciones!$A$2:$A$300)+IF(Colecciones!$A$2:$A$300="",1,0),0)),"")</f>
      </c>
    </row>
    <row r="150" customFormat="false" ht="12.8" hidden="false" customHeight="false" outlineLevel="0" collapsed="false">
      <c r="A150" s="8">
        <f t="array" ref="A150">IFERROR(INDEX(Materiales!$A$2:$A$300,MATCH(0,COUNTIF($A$1:A149,Materiales!$A$2:$A$300)+IF(Materiales!$A$2:$A$300="",1,0),0)),"")</f>
      </c>
      <c r="B150" s="8">
        <f t="array" ref="B150">IFERROR(INDEX(Colecciones!$A$2:$A$300,MATCH(0,COUNTIF($B$1:B149,Colecciones!$A$2:$A$300)+IF(Colecciones!$A$2:$A$300="",1,0),0)),"")</f>
      </c>
    </row>
    <row r="151" customFormat="false" ht="12.8" hidden="false" customHeight="false" outlineLevel="0" collapsed="false">
      <c r="A151" s="8">
        <f t="array" ref="A151">IFERROR(INDEX(Materiales!$A$2:$A$300,MATCH(0,COUNTIF($A$1:A150,Materiales!$A$2:$A$300)+IF(Materiales!$A$2:$A$300="",1,0),0)),"")</f>
      </c>
      <c r="B151" s="8">
        <f t="array" ref="B151">IFERROR(INDEX(Colecciones!$A$2:$A$300,MATCH(0,COUNTIF($B$1:B150,Colecciones!$A$2:$A$300)+IF(Colecciones!$A$2:$A$300="",1,0),0)),"")</f>
      </c>
    </row>
    <row r="152" customFormat="false" ht="12.8" hidden="false" customHeight="false" outlineLevel="0" collapsed="false">
      <c r="A152" s="8">
        <f t="array" ref="A152">IFERROR(INDEX(Materiales!$A$2:$A$300,MATCH(0,COUNTIF($A$1:A151,Materiales!$A$2:$A$300)+IF(Materiales!$A$2:$A$300="",1,0),0)),"")</f>
      </c>
      <c r="B152" s="8">
        <f t="array" ref="B152">IFERROR(INDEX(Colecciones!$A$2:$A$300,MATCH(0,COUNTIF($B$1:B151,Colecciones!$A$2:$A$300)+IF(Colecciones!$A$2:$A$300="",1,0),0)),"")</f>
      </c>
    </row>
    <row r="153" customFormat="false" ht="12.8" hidden="false" customHeight="false" outlineLevel="0" collapsed="false">
      <c r="A153" s="8">
        <f t="array" ref="A153">IFERROR(INDEX(Materiales!$A$2:$A$300,MATCH(0,COUNTIF($A$1:A152,Materiales!$A$2:$A$300)+IF(Materiales!$A$2:$A$300="",1,0),0)),"")</f>
      </c>
      <c r="B153" s="8">
        <f t="array" ref="B153">IFERROR(INDEX(Colecciones!$A$2:$A$300,MATCH(0,COUNTIF($B$1:B152,Colecciones!$A$2:$A$300)+IF(Colecciones!$A$2:$A$300="",1,0),0)),"")</f>
      </c>
    </row>
    <row r="154" customFormat="false" ht="12.8" hidden="false" customHeight="false" outlineLevel="0" collapsed="false">
      <c r="A154" s="8">
        <f t="array" ref="A154">IFERROR(INDEX(Materiales!$A$2:$A$300,MATCH(0,COUNTIF($A$1:A153,Materiales!$A$2:$A$300)+IF(Materiales!$A$2:$A$300="",1,0),0)),"")</f>
      </c>
      <c r="B154" s="8">
        <f t="array" ref="B154">IFERROR(INDEX(Colecciones!$A$2:$A$300,MATCH(0,COUNTIF($B$1:B153,Colecciones!$A$2:$A$300)+IF(Colecciones!$A$2:$A$300="",1,0),0)),"")</f>
      </c>
    </row>
    <row r="155" customFormat="false" ht="12.8" hidden="false" customHeight="false" outlineLevel="0" collapsed="false">
      <c r="A155" s="8">
        <f t="array" ref="A155">IFERROR(INDEX(Materiales!$A$2:$A$300,MATCH(0,COUNTIF($A$1:A154,Materiales!$A$2:$A$300)+IF(Materiales!$A$2:$A$300="",1,0),0)),"")</f>
      </c>
      <c r="B155" s="8">
        <f t="array" ref="B155">IFERROR(INDEX(Colecciones!$A$2:$A$300,MATCH(0,COUNTIF($B$1:B154,Colecciones!$A$2:$A$300)+IF(Colecciones!$A$2:$A$300="",1,0),0)),"")</f>
      </c>
    </row>
    <row r="156" customFormat="false" ht="12.8" hidden="false" customHeight="false" outlineLevel="0" collapsed="false">
      <c r="A156" s="8">
        <f t="array" ref="A156">IFERROR(INDEX(Materiales!$A$2:$A$300,MATCH(0,COUNTIF($A$1:A155,Materiales!$A$2:$A$300)+IF(Materiales!$A$2:$A$300="",1,0),0)),"")</f>
      </c>
      <c r="B156" s="8">
        <f t="array" ref="B156">IFERROR(INDEX(Colecciones!$A$2:$A$300,MATCH(0,COUNTIF($B$1:B155,Colecciones!$A$2:$A$300)+IF(Colecciones!$A$2:$A$300="",1,0),0)),"")</f>
      </c>
    </row>
    <row r="157" customFormat="false" ht="12.8" hidden="false" customHeight="false" outlineLevel="0" collapsed="false">
      <c r="A157" s="8">
        <f t="array" ref="A157">IFERROR(INDEX(Materiales!$A$2:$A$300,MATCH(0,COUNTIF($A$1:A156,Materiales!$A$2:$A$300)+IF(Materiales!$A$2:$A$300="",1,0),0)),"")</f>
      </c>
      <c r="B157" s="8">
        <f t="array" ref="B157">IFERROR(INDEX(Colecciones!$A$2:$A$300,MATCH(0,COUNTIF($B$1:B156,Colecciones!$A$2:$A$300)+IF(Colecciones!$A$2:$A$300="",1,0),0)),"")</f>
      </c>
    </row>
    <row r="158" customFormat="false" ht="12.8" hidden="false" customHeight="false" outlineLevel="0" collapsed="false">
      <c r="A158" s="8">
        <f t="array" ref="A158">IFERROR(INDEX(Materiales!$A$2:$A$300,MATCH(0,COUNTIF($A$1:A157,Materiales!$A$2:$A$300)+IF(Materiales!$A$2:$A$300="",1,0),0)),"")</f>
      </c>
      <c r="B158" s="8">
        <f t="array" ref="B158">IFERROR(INDEX(Colecciones!$A$2:$A$300,MATCH(0,COUNTIF($B$1:B157,Colecciones!$A$2:$A$300)+IF(Colecciones!$A$2:$A$300="",1,0),0)),"")</f>
      </c>
    </row>
    <row r="159" customFormat="false" ht="12.8" hidden="false" customHeight="false" outlineLevel="0" collapsed="false">
      <c r="A159" s="8">
        <f t="array" ref="A159">IFERROR(INDEX(Materiales!$A$2:$A$300,MATCH(0,COUNTIF($A$1:A158,Materiales!$A$2:$A$300)+IF(Materiales!$A$2:$A$300="",1,0),0)),"")</f>
      </c>
      <c r="B159" s="8">
        <f t="array" ref="B159">IFERROR(INDEX(Colecciones!$A$2:$A$300,MATCH(0,COUNTIF($B$1:B158,Colecciones!$A$2:$A$300)+IF(Colecciones!$A$2:$A$300="",1,0),0)),"")</f>
      </c>
    </row>
    <row r="160" customFormat="false" ht="12.8" hidden="false" customHeight="false" outlineLevel="0" collapsed="false">
      <c r="A160" s="8">
        <f t="array" ref="A160">IFERROR(INDEX(Materiales!$A$2:$A$300,MATCH(0,COUNTIF($A$1:A159,Materiales!$A$2:$A$300)+IF(Materiales!$A$2:$A$300="",1,0),0)),"")</f>
      </c>
      <c r="B160" s="8">
        <f t="array" ref="B160">IFERROR(INDEX(Colecciones!$A$2:$A$300,MATCH(0,COUNTIF($B$1:B159,Colecciones!$A$2:$A$300)+IF(Colecciones!$A$2:$A$300="",1,0),0)),"")</f>
      </c>
    </row>
    <row r="161" customFormat="false" ht="12.8" hidden="false" customHeight="false" outlineLevel="0" collapsed="false">
      <c r="A161" s="8">
        <f t="array" ref="A161">IFERROR(INDEX(Materiales!$A$2:$A$300,MATCH(0,COUNTIF($A$1:A160,Materiales!$A$2:$A$300)+IF(Materiales!$A$2:$A$300="",1,0),0)),"")</f>
      </c>
      <c r="B161" s="8">
        <f t="array" ref="B161">IFERROR(INDEX(Colecciones!$A$2:$A$300,MATCH(0,COUNTIF($B$1:B160,Colecciones!$A$2:$A$300)+IF(Colecciones!$A$2:$A$300="",1,0),0)),"")</f>
      </c>
    </row>
    <row r="162" customFormat="false" ht="12.8" hidden="false" customHeight="false" outlineLevel="0" collapsed="false">
      <c r="A162" s="8">
        <f t="array" ref="A162">IFERROR(INDEX(Materiales!$A$2:$A$300,MATCH(0,COUNTIF($A$1:A161,Materiales!$A$2:$A$300)+IF(Materiales!$A$2:$A$300="",1,0),0)),"")</f>
      </c>
      <c r="B162" s="8">
        <f t="array" ref="B162">IFERROR(INDEX(Colecciones!$A$2:$A$300,MATCH(0,COUNTIF($B$1:B161,Colecciones!$A$2:$A$300)+IF(Colecciones!$A$2:$A$300="",1,0),0)),"")</f>
      </c>
    </row>
    <row r="163" customFormat="false" ht="12.8" hidden="false" customHeight="false" outlineLevel="0" collapsed="false">
      <c r="A163" s="8">
        <f t="array" ref="A163">IFERROR(INDEX(Materiales!$A$2:$A$300,MATCH(0,COUNTIF($A$1:A162,Materiales!$A$2:$A$300)+IF(Materiales!$A$2:$A$300="",1,0),0)),"")</f>
      </c>
      <c r="B163" s="8">
        <f t="array" ref="B163">IFERROR(INDEX(Colecciones!$A$2:$A$300,MATCH(0,COUNTIF($B$1:B162,Colecciones!$A$2:$A$300)+IF(Colecciones!$A$2:$A$300="",1,0),0)),"")</f>
      </c>
    </row>
    <row r="164" customFormat="false" ht="12.8" hidden="false" customHeight="false" outlineLevel="0" collapsed="false">
      <c r="A164" s="8">
        <f t="array" ref="A164">IFERROR(INDEX(Materiales!$A$2:$A$300,MATCH(0,COUNTIF($A$1:A163,Materiales!$A$2:$A$300)+IF(Materiales!$A$2:$A$300="",1,0),0)),"")</f>
      </c>
      <c r="B164" s="8">
        <f t="array" ref="B164">IFERROR(INDEX(Colecciones!$A$2:$A$300,MATCH(0,COUNTIF($B$1:B163,Colecciones!$A$2:$A$300)+IF(Colecciones!$A$2:$A$300="",1,0),0)),"")</f>
      </c>
    </row>
    <row r="165" customFormat="false" ht="12.8" hidden="false" customHeight="false" outlineLevel="0" collapsed="false">
      <c r="A165" s="8">
        <f t="array" ref="A165">IFERROR(INDEX(Materiales!$A$2:$A$300,MATCH(0,COUNTIF($A$1:A164,Materiales!$A$2:$A$300)+IF(Materiales!$A$2:$A$300="",1,0),0)),"")</f>
      </c>
      <c r="B165" s="8">
        <f t="array" ref="B165">IFERROR(INDEX(Colecciones!$A$2:$A$300,MATCH(0,COUNTIF($B$1:B164,Colecciones!$A$2:$A$300)+IF(Colecciones!$A$2:$A$300="",1,0),0)),"")</f>
      </c>
    </row>
    <row r="166" customFormat="false" ht="12.8" hidden="false" customHeight="false" outlineLevel="0" collapsed="false">
      <c r="A166" s="8">
        <f t="array" ref="A166">IFERROR(INDEX(Materiales!$A$2:$A$300,MATCH(0,COUNTIF($A$1:A165,Materiales!$A$2:$A$300)+IF(Materiales!$A$2:$A$300="",1,0),0)),"")</f>
      </c>
      <c r="B166" s="8">
        <f t="array" ref="B166">IFERROR(INDEX(Colecciones!$A$2:$A$300,MATCH(0,COUNTIF($B$1:B165,Colecciones!$A$2:$A$300)+IF(Colecciones!$A$2:$A$300="",1,0),0)),"")</f>
      </c>
    </row>
    <row r="167" customFormat="false" ht="12.8" hidden="false" customHeight="false" outlineLevel="0" collapsed="false">
      <c r="A167" s="8">
        <f t="array" ref="A167">IFERROR(INDEX(Materiales!$A$2:$A$300,MATCH(0,COUNTIF($A$1:A166,Materiales!$A$2:$A$300)+IF(Materiales!$A$2:$A$300="",1,0),0)),"")</f>
      </c>
      <c r="B167" s="8">
        <f t="array" ref="B167">IFERROR(INDEX(Colecciones!$A$2:$A$300,MATCH(0,COUNTIF($B$1:B166,Colecciones!$A$2:$A$300)+IF(Colecciones!$A$2:$A$300="",1,0),0)),"")</f>
      </c>
    </row>
    <row r="168" customFormat="false" ht="12.8" hidden="false" customHeight="false" outlineLevel="0" collapsed="false">
      <c r="A168" s="8">
        <f t="array" ref="A168">IFERROR(INDEX(Materiales!$A$2:$A$300,MATCH(0,COUNTIF($A$1:A167,Materiales!$A$2:$A$300)+IF(Materiales!$A$2:$A$300="",1,0),0)),"")</f>
      </c>
      <c r="B168" s="8">
        <f t="array" ref="B168">IFERROR(INDEX(Colecciones!$A$2:$A$300,MATCH(0,COUNTIF($B$1:B167,Colecciones!$A$2:$A$300)+IF(Colecciones!$A$2:$A$300="",1,0),0)),"")</f>
      </c>
    </row>
    <row r="169" customFormat="false" ht="12.8" hidden="false" customHeight="false" outlineLevel="0" collapsed="false">
      <c r="A169" s="8">
        <f t="array" ref="A169">IFERROR(INDEX(Materiales!$A$2:$A$300,MATCH(0,COUNTIF($A$1:A168,Materiales!$A$2:$A$300)+IF(Materiales!$A$2:$A$300="",1,0),0)),"")</f>
      </c>
      <c r="B169" s="8">
        <f t="array" ref="B169">IFERROR(INDEX(Colecciones!$A$2:$A$300,MATCH(0,COUNTIF($B$1:B168,Colecciones!$A$2:$A$300)+IF(Colecciones!$A$2:$A$300="",1,0),0)),"")</f>
      </c>
    </row>
    <row r="170" customFormat="false" ht="12.8" hidden="false" customHeight="false" outlineLevel="0" collapsed="false">
      <c r="A170" s="8">
        <f t="array" ref="A170">IFERROR(INDEX(Materiales!$A$2:$A$300,MATCH(0,COUNTIF($A$1:A169,Materiales!$A$2:$A$300)+IF(Materiales!$A$2:$A$300="",1,0),0)),"")</f>
      </c>
      <c r="B170" s="8">
        <f t="array" ref="B170">IFERROR(INDEX(Colecciones!$A$2:$A$300,MATCH(0,COUNTIF($B$1:B169,Colecciones!$A$2:$A$300)+IF(Colecciones!$A$2:$A$300="",1,0),0)),"")</f>
      </c>
    </row>
    <row r="171" customFormat="false" ht="12.8" hidden="false" customHeight="false" outlineLevel="0" collapsed="false">
      <c r="A171" s="8">
        <f t="array" ref="A171">IFERROR(INDEX(Materiales!$A$2:$A$300,MATCH(0,COUNTIF($A$1:A170,Materiales!$A$2:$A$300)+IF(Materiales!$A$2:$A$300="",1,0),0)),"")</f>
      </c>
      <c r="B171" s="8">
        <f t="array" ref="B171">IFERROR(INDEX(Colecciones!$A$2:$A$300,MATCH(0,COUNTIF($B$1:B170,Colecciones!$A$2:$A$300)+IF(Colecciones!$A$2:$A$300="",1,0),0)),"")</f>
      </c>
    </row>
    <row r="172" customFormat="false" ht="12.8" hidden="false" customHeight="false" outlineLevel="0" collapsed="false">
      <c r="A172" s="8">
        <f t="array" ref="A172">IFERROR(INDEX(Materiales!$A$2:$A$300,MATCH(0,COUNTIF($A$1:A171,Materiales!$A$2:$A$300)+IF(Materiales!$A$2:$A$300="",1,0),0)),"")</f>
      </c>
      <c r="B172" s="8">
        <f t="array" ref="B172">IFERROR(INDEX(Colecciones!$A$2:$A$300,MATCH(0,COUNTIF($B$1:B171,Colecciones!$A$2:$A$300)+IF(Colecciones!$A$2:$A$300="",1,0),0)),"")</f>
      </c>
    </row>
    <row r="173" customFormat="false" ht="12.8" hidden="false" customHeight="false" outlineLevel="0" collapsed="false">
      <c r="A173" s="8">
        <f t="array" ref="A173">IFERROR(INDEX(Materiales!$A$2:$A$300,MATCH(0,COUNTIF($A$1:A172,Materiales!$A$2:$A$300)+IF(Materiales!$A$2:$A$300="",1,0),0)),"")</f>
      </c>
      <c r="B173" s="8">
        <f t="array" ref="B173">IFERROR(INDEX(Colecciones!$A$2:$A$300,MATCH(0,COUNTIF($B$1:B172,Colecciones!$A$2:$A$300)+IF(Colecciones!$A$2:$A$300="",1,0),0)),"")</f>
      </c>
    </row>
    <row r="174" customFormat="false" ht="12.8" hidden="false" customHeight="false" outlineLevel="0" collapsed="false">
      <c r="A174" s="8">
        <f t="array" ref="A174">IFERROR(INDEX(Materiales!$A$2:$A$300,MATCH(0,COUNTIF($A$1:A173,Materiales!$A$2:$A$300)+IF(Materiales!$A$2:$A$300="",1,0),0)),"")</f>
      </c>
      <c r="B174" s="8">
        <f t="array" ref="B174">IFERROR(INDEX(Colecciones!$A$2:$A$300,MATCH(0,COUNTIF($B$1:B173,Colecciones!$A$2:$A$300)+IF(Colecciones!$A$2:$A$300="",1,0),0)),"")</f>
      </c>
    </row>
    <row r="175" customFormat="false" ht="12.8" hidden="false" customHeight="false" outlineLevel="0" collapsed="false">
      <c r="A175" s="8">
        <f t="array" ref="A175">IFERROR(INDEX(Materiales!$A$2:$A$300,MATCH(0,COUNTIF($A$1:A174,Materiales!$A$2:$A$300)+IF(Materiales!$A$2:$A$300="",1,0),0)),"")</f>
      </c>
      <c r="B175" s="8">
        <f t="array" ref="B175">IFERROR(INDEX(Colecciones!$A$2:$A$300,MATCH(0,COUNTIF($B$1:B174,Colecciones!$A$2:$A$300)+IF(Colecciones!$A$2:$A$300="",1,0),0)),"")</f>
      </c>
    </row>
    <row r="176" customFormat="false" ht="12.8" hidden="false" customHeight="false" outlineLevel="0" collapsed="false">
      <c r="A176" s="8">
        <f t="array" ref="A176">IFERROR(INDEX(Materiales!$A$2:$A$300,MATCH(0,COUNTIF($A$1:A175,Materiales!$A$2:$A$300)+IF(Materiales!$A$2:$A$300="",1,0),0)),"")</f>
      </c>
      <c r="B176" s="8">
        <f t="array" ref="B176">IFERROR(INDEX(Colecciones!$A$2:$A$300,MATCH(0,COUNTIF($B$1:B175,Colecciones!$A$2:$A$300)+IF(Colecciones!$A$2:$A$300="",1,0),0)),"")</f>
      </c>
    </row>
    <row r="177" customFormat="false" ht="12.8" hidden="false" customHeight="false" outlineLevel="0" collapsed="false">
      <c r="A177" s="8">
        <f t="array" ref="A177">IFERROR(INDEX(Materiales!$A$2:$A$300,MATCH(0,COUNTIF($A$1:A176,Materiales!$A$2:$A$300)+IF(Materiales!$A$2:$A$300="",1,0),0)),"")</f>
      </c>
      <c r="B177" s="8">
        <f t="array" ref="B177">IFERROR(INDEX(Colecciones!$A$2:$A$300,MATCH(0,COUNTIF($B$1:B176,Colecciones!$A$2:$A$300)+IF(Colecciones!$A$2:$A$300="",1,0),0)),"")</f>
      </c>
    </row>
    <row r="178" customFormat="false" ht="12.8" hidden="false" customHeight="false" outlineLevel="0" collapsed="false">
      <c r="A178" s="8">
        <f t="array" ref="A178">IFERROR(INDEX(Materiales!$A$2:$A$300,MATCH(0,COUNTIF($A$1:A177,Materiales!$A$2:$A$300)+IF(Materiales!$A$2:$A$300="",1,0),0)),"")</f>
      </c>
      <c r="B178" s="8">
        <f t="array" ref="B178">IFERROR(INDEX(Colecciones!$A$2:$A$300,MATCH(0,COUNTIF($B$1:B177,Colecciones!$A$2:$A$300)+IF(Colecciones!$A$2:$A$300="",1,0),0)),"")</f>
      </c>
    </row>
    <row r="179" customFormat="false" ht="12.8" hidden="false" customHeight="false" outlineLevel="0" collapsed="false">
      <c r="A179" s="8">
        <f t="array" ref="A179">IFERROR(INDEX(Materiales!$A$2:$A$300,MATCH(0,COUNTIF($A$1:A178,Materiales!$A$2:$A$300)+IF(Materiales!$A$2:$A$300="",1,0),0)),"")</f>
      </c>
      <c r="B179" s="8">
        <f t="array" ref="B179">IFERROR(INDEX(Colecciones!$A$2:$A$300,MATCH(0,COUNTIF($B$1:B178,Colecciones!$A$2:$A$300)+IF(Colecciones!$A$2:$A$300="",1,0),0)),"")</f>
      </c>
    </row>
    <row r="180" customFormat="false" ht="12.8" hidden="false" customHeight="false" outlineLevel="0" collapsed="false">
      <c r="A180" s="8">
        <f t="array" ref="A180">IFERROR(INDEX(Materiales!$A$2:$A$300,MATCH(0,COUNTIF($A$1:A179,Materiales!$A$2:$A$300)+IF(Materiales!$A$2:$A$300="",1,0),0)),"")</f>
      </c>
      <c r="B180" s="8">
        <f t="array" ref="B180">IFERROR(INDEX(Colecciones!$A$2:$A$300,MATCH(0,COUNTIF($B$1:B179,Colecciones!$A$2:$A$300)+IF(Colecciones!$A$2:$A$300="",1,0),0)),"")</f>
      </c>
    </row>
    <row r="181" customFormat="false" ht="12.8" hidden="false" customHeight="false" outlineLevel="0" collapsed="false">
      <c r="A181" s="8">
        <f t="array" ref="A181">IFERROR(INDEX(Materiales!$A$2:$A$300,MATCH(0,COUNTIF($A$1:A180,Materiales!$A$2:$A$300)+IF(Materiales!$A$2:$A$300="",1,0),0)),"")</f>
      </c>
      <c r="B181" s="8">
        <f t="array" ref="B181">IFERROR(INDEX(Colecciones!$A$2:$A$300,MATCH(0,COUNTIF($B$1:B180,Colecciones!$A$2:$A$300)+IF(Colecciones!$A$2:$A$300="",1,0),0)),"")</f>
      </c>
    </row>
    <row r="182" customFormat="false" ht="12.8" hidden="false" customHeight="false" outlineLevel="0" collapsed="false">
      <c r="A182" s="8">
        <f t="array" ref="A182">IFERROR(INDEX(Materiales!$A$2:$A$300,MATCH(0,COUNTIF($A$1:A181,Materiales!$A$2:$A$300)+IF(Materiales!$A$2:$A$300="",1,0),0)),"")</f>
      </c>
      <c r="B182" s="8">
        <f t="array" ref="B182">IFERROR(INDEX(Colecciones!$A$2:$A$300,MATCH(0,COUNTIF($B$1:B181,Colecciones!$A$2:$A$300)+IF(Colecciones!$A$2:$A$300="",1,0),0)),"")</f>
      </c>
    </row>
    <row r="183" customFormat="false" ht="12.8" hidden="false" customHeight="false" outlineLevel="0" collapsed="false">
      <c r="A183" s="8">
        <f t="array" ref="A183">IFERROR(INDEX(Materiales!$A$2:$A$300,MATCH(0,COUNTIF($A$1:A182,Materiales!$A$2:$A$300)+IF(Materiales!$A$2:$A$300="",1,0),0)),"")</f>
      </c>
      <c r="B183" s="8">
        <f t="array" ref="B183">IFERROR(INDEX(Colecciones!$A$2:$A$300,MATCH(0,COUNTIF($B$1:B182,Colecciones!$A$2:$A$300)+IF(Colecciones!$A$2:$A$300="",1,0),0)),"")</f>
      </c>
    </row>
    <row r="184" customFormat="false" ht="12.8" hidden="false" customHeight="false" outlineLevel="0" collapsed="false">
      <c r="A184" s="8">
        <f t="array" ref="A184">IFERROR(INDEX(Materiales!$A$2:$A$300,MATCH(0,COUNTIF($A$1:A183,Materiales!$A$2:$A$300)+IF(Materiales!$A$2:$A$300="",1,0),0)),"")</f>
      </c>
      <c r="B184" s="8">
        <f t="array" ref="B184">IFERROR(INDEX(Colecciones!$A$2:$A$300,MATCH(0,COUNTIF($B$1:B183,Colecciones!$A$2:$A$300)+IF(Colecciones!$A$2:$A$300="",1,0),0)),"")</f>
      </c>
    </row>
    <row r="185" customFormat="false" ht="12.8" hidden="false" customHeight="false" outlineLevel="0" collapsed="false">
      <c r="A185" s="8">
        <f t="array" ref="A185">IFERROR(INDEX(Materiales!$A$2:$A$300,MATCH(0,COUNTIF($A$1:A184,Materiales!$A$2:$A$300)+IF(Materiales!$A$2:$A$300="",1,0),0)),"")</f>
      </c>
      <c r="B185" s="8">
        <f t="array" ref="B185">IFERROR(INDEX(Colecciones!$A$2:$A$300,MATCH(0,COUNTIF($B$1:B184,Colecciones!$A$2:$A$300)+IF(Colecciones!$A$2:$A$300="",1,0),0)),"")</f>
      </c>
    </row>
    <row r="186" customFormat="false" ht="12.8" hidden="false" customHeight="false" outlineLevel="0" collapsed="false">
      <c r="A186" s="8">
        <f t="array" ref="A186">IFERROR(INDEX(Materiales!$A$2:$A$300,MATCH(0,COUNTIF($A$1:A185,Materiales!$A$2:$A$300)+IF(Materiales!$A$2:$A$300="",1,0),0)),"")</f>
      </c>
      <c r="B186" s="8">
        <f t="array" ref="B186">IFERROR(INDEX(Colecciones!$A$2:$A$300,MATCH(0,COUNTIF($B$1:B185,Colecciones!$A$2:$A$300)+IF(Colecciones!$A$2:$A$300="",1,0),0)),"")</f>
      </c>
    </row>
    <row r="187" customFormat="false" ht="12.8" hidden="false" customHeight="false" outlineLevel="0" collapsed="false">
      <c r="A187" s="8">
        <f t="array" ref="A187">IFERROR(INDEX(Materiales!$A$2:$A$300,MATCH(0,COUNTIF($A$1:A186,Materiales!$A$2:$A$300)+IF(Materiales!$A$2:$A$300="",1,0),0)),"")</f>
      </c>
      <c r="B187" s="8">
        <f t="array" ref="B187">IFERROR(INDEX(Colecciones!$A$2:$A$300,MATCH(0,COUNTIF($B$1:B186,Colecciones!$A$2:$A$300)+IF(Colecciones!$A$2:$A$300="",1,0),0)),"")</f>
      </c>
    </row>
    <row r="188" customFormat="false" ht="12.8" hidden="false" customHeight="false" outlineLevel="0" collapsed="false">
      <c r="A188" s="8">
        <f t="array" ref="A188">IFERROR(INDEX(Materiales!$A$2:$A$300,MATCH(0,COUNTIF($A$1:A187,Materiales!$A$2:$A$300)+IF(Materiales!$A$2:$A$300="",1,0),0)),"")</f>
      </c>
      <c r="B188" s="8">
        <f t="array" ref="B188">IFERROR(INDEX(Colecciones!$A$2:$A$300,MATCH(0,COUNTIF($B$1:B187,Colecciones!$A$2:$A$300)+IF(Colecciones!$A$2:$A$300="",1,0),0)),"")</f>
      </c>
    </row>
    <row r="189" customFormat="false" ht="12.8" hidden="false" customHeight="false" outlineLevel="0" collapsed="false">
      <c r="A189" s="8">
        <f t="array" ref="A189">IFERROR(INDEX(Materiales!$A$2:$A$300,MATCH(0,COUNTIF($A$1:A188,Materiales!$A$2:$A$300)+IF(Materiales!$A$2:$A$300="",1,0),0)),"")</f>
      </c>
      <c r="B189" s="8">
        <f t="array" ref="B189">IFERROR(INDEX(Colecciones!$A$2:$A$300,MATCH(0,COUNTIF($B$1:B188,Colecciones!$A$2:$A$300)+IF(Colecciones!$A$2:$A$300="",1,0),0)),"")</f>
      </c>
    </row>
    <row r="190" customFormat="false" ht="12.8" hidden="false" customHeight="false" outlineLevel="0" collapsed="false">
      <c r="A190" s="8">
        <f t="array" ref="A190">IFERROR(INDEX(Materiales!$A$2:$A$300,MATCH(0,COUNTIF($A$1:A189,Materiales!$A$2:$A$300)+IF(Materiales!$A$2:$A$300="",1,0),0)),"")</f>
      </c>
      <c r="B190" s="8">
        <f t="array" ref="B190">IFERROR(INDEX(Colecciones!$A$2:$A$300,MATCH(0,COUNTIF($B$1:B189,Colecciones!$A$2:$A$300)+IF(Colecciones!$A$2:$A$300="",1,0),0)),"")</f>
      </c>
    </row>
    <row r="191" customFormat="false" ht="12.8" hidden="false" customHeight="false" outlineLevel="0" collapsed="false">
      <c r="A191" s="8">
        <f t="array" ref="A191">IFERROR(INDEX(Materiales!$A$2:$A$300,MATCH(0,COUNTIF($A$1:A190,Materiales!$A$2:$A$300)+IF(Materiales!$A$2:$A$300="",1,0),0)),"")</f>
      </c>
      <c r="B191" s="8">
        <f t="array" ref="B191">IFERROR(INDEX(Colecciones!$A$2:$A$300,MATCH(0,COUNTIF($B$1:B190,Colecciones!$A$2:$A$300)+IF(Colecciones!$A$2:$A$300="",1,0),0)),"")</f>
      </c>
    </row>
    <row r="192" customFormat="false" ht="12.8" hidden="false" customHeight="false" outlineLevel="0" collapsed="false">
      <c r="A192" s="8">
        <f t="array" ref="A192">IFERROR(INDEX(Materiales!$A$2:$A$300,MATCH(0,COUNTIF($A$1:A191,Materiales!$A$2:$A$300)+IF(Materiales!$A$2:$A$300="",1,0),0)),"")</f>
      </c>
      <c r="B192" s="8">
        <f t="array" ref="B192">IFERROR(INDEX(Colecciones!$A$2:$A$300,MATCH(0,COUNTIF($B$1:B191,Colecciones!$A$2:$A$300)+IF(Colecciones!$A$2:$A$300="",1,0),0)),"")</f>
      </c>
    </row>
    <row r="193" customFormat="false" ht="12.8" hidden="false" customHeight="false" outlineLevel="0" collapsed="false">
      <c r="A193" s="8">
        <f t="array" ref="A193">IFERROR(INDEX(Materiales!$A$2:$A$300,MATCH(0,COUNTIF($A$1:A192,Materiales!$A$2:$A$300)+IF(Materiales!$A$2:$A$300="",1,0),0)),"")</f>
      </c>
      <c r="B193" s="8">
        <f t="array" ref="B193">IFERROR(INDEX(Colecciones!$A$2:$A$300,MATCH(0,COUNTIF($B$1:B192,Colecciones!$A$2:$A$300)+IF(Colecciones!$A$2:$A$300="",1,0),0)),"")</f>
      </c>
    </row>
    <row r="194" customFormat="false" ht="12.8" hidden="false" customHeight="false" outlineLevel="0" collapsed="false">
      <c r="A194" s="8">
        <f t="array" ref="A194">IFERROR(INDEX(Materiales!$A$2:$A$300,MATCH(0,COUNTIF($A$1:A193,Materiales!$A$2:$A$300)+IF(Materiales!$A$2:$A$300="",1,0),0)),"")</f>
      </c>
      <c r="B194" s="8">
        <f t="array" ref="B194">IFERROR(INDEX(Colecciones!$A$2:$A$300,MATCH(0,COUNTIF($B$1:B193,Colecciones!$A$2:$A$300)+IF(Colecciones!$A$2:$A$300="",1,0),0)),"")</f>
      </c>
    </row>
    <row r="195" customFormat="false" ht="12.8" hidden="false" customHeight="false" outlineLevel="0" collapsed="false">
      <c r="A195" s="8">
        <f t="array" ref="A195">IFERROR(INDEX(Materiales!$A$2:$A$300,MATCH(0,COUNTIF($A$1:A194,Materiales!$A$2:$A$300)+IF(Materiales!$A$2:$A$300="",1,0),0)),"")</f>
      </c>
      <c r="B195" s="8">
        <f t="array" ref="B195">IFERROR(INDEX(Colecciones!$A$2:$A$300,MATCH(0,COUNTIF($B$1:B194,Colecciones!$A$2:$A$300)+IF(Colecciones!$A$2:$A$300="",1,0),0)),"")</f>
      </c>
    </row>
    <row r="196" customFormat="false" ht="12.8" hidden="false" customHeight="false" outlineLevel="0" collapsed="false">
      <c r="A196" s="8">
        <f t="array" ref="A196">IFERROR(INDEX(Materiales!$A$2:$A$300,MATCH(0,COUNTIF($A$1:A195,Materiales!$A$2:$A$300)+IF(Materiales!$A$2:$A$300="",1,0),0)),"")</f>
      </c>
      <c r="B196" s="8">
        <f t="array" ref="B196">IFERROR(INDEX(Colecciones!$A$2:$A$300,MATCH(0,COUNTIF($B$1:B195,Colecciones!$A$2:$A$300)+IF(Colecciones!$A$2:$A$300="",1,0),0)),"")</f>
      </c>
    </row>
    <row r="197" customFormat="false" ht="12.8" hidden="false" customHeight="false" outlineLevel="0" collapsed="false">
      <c r="A197" s="8">
        <f t="array" ref="A197">IFERROR(INDEX(Materiales!$A$2:$A$300,MATCH(0,COUNTIF($A$1:A196,Materiales!$A$2:$A$300)+IF(Materiales!$A$2:$A$300="",1,0),0)),"")</f>
      </c>
      <c r="B197" s="8">
        <f t="array" ref="B197">IFERROR(INDEX(Colecciones!$A$2:$A$300,MATCH(0,COUNTIF($B$1:B196,Colecciones!$A$2:$A$300)+IF(Colecciones!$A$2:$A$300="",1,0),0)),"")</f>
      </c>
    </row>
    <row r="198" customFormat="false" ht="12.8" hidden="false" customHeight="false" outlineLevel="0" collapsed="false">
      <c r="A198" s="8">
        <f t="array" ref="A198">IFERROR(INDEX(Materiales!$A$2:$A$300,MATCH(0,COUNTIF($A$1:A197,Materiales!$A$2:$A$300)+IF(Materiales!$A$2:$A$300="",1,0),0)),"")</f>
      </c>
      <c r="B198" s="8">
        <f t="array" ref="B198">IFERROR(INDEX(Colecciones!$A$2:$A$300,MATCH(0,COUNTIF($B$1:B197,Colecciones!$A$2:$A$300)+IF(Colecciones!$A$2:$A$300="",1,0),0)),"")</f>
      </c>
    </row>
    <row r="199" customFormat="false" ht="12.8" hidden="false" customHeight="false" outlineLevel="0" collapsed="false">
      <c r="A199" s="8">
        <f t="array" ref="A199">IFERROR(INDEX(Materiales!$A$2:$A$300,MATCH(0,COUNTIF($A$1:A198,Materiales!$A$2:$A$300)+IF(Materiales!$A$2:$A$300="",1,0),0)),"")</f>
      </c>
      <c r="B199" s="8">
        <f t="array" ref="B199">IFERROR(INDEX(Colecciones!$A$2:$A$300,MATCH(0,COUNTIF($B$1:B198,Colecciones!$A$2:$A$300)+IF(Colecciones!$A$2:$A$300="",1,0),0)),"")</f>
      </c>
    </row>
    <row r="200" customFormat="false" ht="12.8" hidden="false" customHeight="false" outlineLevel="0" collapsed="false">
      <c r="A200" s="8">
        <f t="array" ref="A200">IFERROR(INDEX(Materiales!$A$2:$A$300,MATCH(0,COUNTIF($A$1:A199,Materiales!$A$2:$A$300)+IF(Materiales!$A$2:$A$300="",1,0),0)),"")</f>
      </c>
      <c r="B200" s="8">
        <f t="array" ref="B200">IFERROR(INDEX(Colecciones!$A$2:$A$300,MATCH(0,COUNTIF($B$1:B199,Colecciones!$A$2:$A$300)+IF(Colecciones!$A$2:$A$300="",1,0),0)),"")</f>
      </c>
    </row>
    <row r="201" customFormat="false" ht="12.8" hidden="false" customHeight="false" outlineLevel="0" collapsed="false">
      <c r="A201" s="8">
        <f t="array" ref="A201">IFERROR(INDEX(Materiales!$A$2:$A$300,MATCH(0,COUNTIF($A$1:A200,Materiales!$A$2:$A$300)+IF(Materiales!$A$2:$A$300="",1,0),0)),"")</f>
      </c>
      <c r="B201" s="8">
        <f t="array" ref="B201">IFERROR(INDEX(Colecciones!$A$2:$A$300,MATCH(0,COUNTIF($B$1:B200,Colecciones!$A$2:$A$300)+IF(Colecciones!$A$2:$A$300="",1,0),0)),"")</f>
      </c>
    </row>
    <row r="202" customFormat="false" ht="12.8" hidden="false" customHeight="false" outlineLevel="0" collapsed="false">
      <c r="A202" s="8">
        <f t="array" ref="A202">IFERROR(INDEX(Materiales!$A$2:$A$300,MATCH(0,COUNTIF($A$1:A201,Materiales!$A$2:$A$300)+IF(Materiales!$A$2:$A$300="",1,0),0)),"")</f>
      </c>
      <c r="B202" s="8">
        <f t="array" ref="B202">IFERROR(INDEX(Colecciones!$A$2:$A$300,MATCH(0,COUNTIF($B$1:B201,Colecciones!$A$2:$A$300)+IF(Colecciones!$A$2:$A$300="",1,0),0)),"")</f>
      </c>
    </row>
    <row r="203" customFormat="false" ht="12.8" hidden="false" customHeight="false" outlineLevel="0" collapsed="false">
      <c r="A203" s="8">
        <f t="array" ref="A203">IFERROR(INDEX(Materiales!$A$2:$A$300,MATCH(0,COUNTIF($A$1:A202,Materiales!$A$2:$A$300)+IF(Materiales!$A$2:$A$300="",1,0),0)),"")</f>
      </c>
      <c r="B203" s="8">
        <f t="array" ref="B203">IFERROR(INDEX(Colecciones!$A$2:$A$300,MATCH(0,COUNTIF($B$1:B202,Colecciones!$A$2:$A$300)+IF(Colecciones!$A$2:$A$300="",1,0),0)),"")</f>
      </c>
    </row>
    <row r="204" customFormat="false" ht="12.8" hidden="false" customHeight="false" outlineLevel="0" collapsed="false">
      <c r="A204" s="8">
        <f t="array" ref="A204">IFERROR(INDEX(Materiales!$A$2:$A$300,MATCH(0,COUNTIF($A$1:A203,Materiales!$A$2:$A$300)+IF(Materiales!$A$2:$A$300="",1,0),0)),"")</f>
      </c>
      <c r="B204" s="8">
        <f t="array" ref="B204">IFERROR(INDEX(Colecciones!$A$2:$A$300,MATCH(0,COUNTIF($B$1:B203,Colecciones!$A$2:$A$300)+IF(Colecciones!$A$2:$A$300="",1,0),0)),"")</f>
      </c>
    </row>
    <row r="205" customFormat="false" ht="12.8" hidden="false" customHeight="false" outlineLevel="0" collapsed="false">
      <c r="A205" s="8">
        <f t="array" ref="A205">IFERROR(INDEX(Materiales!$A$2:$A$300,MATCH(0,COUNTIF($A$1:A204,Materiales!$A$2:$A$300)+IF(Materiales!$A$2:$A$300="",1,0),0)),"")</f>
      </c>
      <c r="B205" s="8">
        <f t="array" ref="B205">IFERROR(INDEX(Colecciones!$A$2:$A$300,MATCH(0,COUNTIF($B$1:B204,Colecciones!$A$2:$A$300)+IF(Colecciones!$A$2:$A$300="",1,0),0)),"")</f>
      </c>
    </row>
    <row r="206" customFormat="false" ht="12.8" hidden="false" customHeight="false" outlineLevel="0" collapsed="false">
      <c r="A206" s="8">
        <f t="array" ref="A206">IFERROR(INDEX(Materiales!$A$2:$A$300,MATCH(0,COUNTIF($A$1:A205,Materiales!$A$2:$A$300)+IF(Materiales!$A$2:$A$300="",1,0),0)),"")</f>
      </c>
      <c r="B206" s="8">
        <f t="array" ref="B206">IFERROR(INDEX(Colecciones!$A$2:$A$300,MATCH(0,COUNTIF($B$1:B205,Colecciones!$A$2:$A$300)+IF(Colecciones!$A$2:$A$300="",1,0),0)),"")</f>
      </c>
    </row>
    <row r="207" customFormat="false" ht="12.8" hidden="false" customHeight="false" outlineLevel="0" collapsed="false">
      <c r="A207" s="8">
        <f t="array" ref="A207">IFERROR(INDEX(Materiales!$A$2:$A$300,MATCH(0,COUNTIF($A$1:A206,Materiales!$A$2:$A$300)+IF(Materiales!$A$2:$A$300="",1,0),0)),"")</f>
      </c>
      <c r="B207" s="8">
        <f t="array" ref="B207">IFERROR(INDEX(Colecciones!$A$2:$A$300,MATCH(0,COUNTIF($B$1:B206,Colecciones!$A$2:$A$300)+IF(Colecciones!$A$2:$A$300="",1,0),0)),"")</f>
      </c>
    </row>
    <row r="208" customFormat="false" ht="12.8" hidden="false" customHeight="false" outlineLevel="0" collapsed="false">
      <c r="A208" s="8">
        <f t="array" ref="A208">IFERROR(INDEX(Materiales!$A$2:$A$300,MATCH(0,COUNTIF($A$1:A207,Materiales!$A$2:$A$300)+IF(Materiales!$A$2:$A$300="",1,0),0)),"")</f>
      </c>
      <c r="B208" s="8">
        <f t="array" ref="B208">IFERROR(INDEX(Colecciones!$A$2:$A$300,MATCH(0,COUNTIF($B$1:B207,Colecciones!$A$2:$A$300)+IF(Colecciones!$A$2:$A$300="",1,0),0)),"")</f>
      </c>
    </row>
    <row r="209" customFormat="false" ht="12.8" hidden="false" customHeight="false" outlineLevel="0" collapsed="false">
      <c r="A209" s="8">
        <f t="array" ref="A209">IFERROR(INDEX(Materiales!$A$2:$A$300,MATCH(0,COUNTIF($A$1:A208,Materiales!$A$2:$A$300)+IF(Materiales!$A$2:$A$300="",1,0),0)),"")</f>
      </c>
      <c r="B209" s="8">
        <f t="array" ref="B209">IFERROR(INDEX(Colecciones!$A$2:$A$300,MATCH(0,COUNTIF($B$1:B208,Colecciones!$A$2:$A$300)+IF(Colecciones!$A$2:$A$300="",1,0),0)),"")</f>
      </c>
    </row>
    <row r="210" customFormat="false" ht="12.8" hidden="false" customHeight="false" outlineLevel="0" collapsed="false">
      <c r="A210" s="8">
        <f t="array" ref="A210">IFERROR(INDEX(Materiales!$A$2:$A$300,MATCH(0,COUNTIF($A$1:A209,Materiales!$A$2:$A$300)+IF(Materiales!$A$2:$A$300="",1,0),0)),"")</f>
      </c>
      <c r="B210" s="8">
        <f t="array" ref="B210">IFERROR(INDEX(Colecciones!$A$2:$A$300,MATCH(0,COUNTIF($B$1:B209,Colecciones!$A$2:$A$300)+IF(Colecciones!$A$2:$A$300="",1,0),0)),"")</f>
      </c>
    </row>
    <row r="211" customFormat="false" ht="12.8" hidden="false" customHeight="false" outlineLevel="0" collapsed="false">
      <c r="A211" s="8">
        <f t="array" ref="A211">IFERROR(INDEX(Materiales!$A$2:$A$300,MATCH(0,COUNTIF($A$1:A210,Materiales!$A$2:$A$300)+IF(Materiales!$A$2:$A$300="",1,0),0)),"")</f>
      </c>
      <c r="B211" s="8">
        <f t="array" ref="B211">IFERROR(INDEX(Colecciones!$A$2:$A$300,MATCH(0,COUNTIF($B$1:B210,Colecciones!$A$2:$A$300)+IF(Colecciones!$A$2:$A$300="",1,0),0)),"")</f>
      </c>
    </row>
    <row r="212" customFormat="false" ht="12.8" hidden="false" customHeight="false" outlineLevel="0" collapsed="false">
      <c r="A212" s="8">
        <f t="array" ref="A212">IFERROR(INDEX(Materiales!$A$2:$A$300,MATCH(0,COUNTIF($A$1:A211,Materiales!$A$2:$A$300)+IF(Materiales!$A$2:$A$300="",1,0),0)),"")</f>
      </c>
      <c r="B212" s="8">
        <f t="array" ref="B212">IFERROR(INDEX(Colecciones!$A$2:$A$300,MATCH(0,COUNTIF($B$1:B211,Colecciones!$A$2:$A$300)+IF(Colecciones!$A$2:$A$300="",1,0),0)),"")</f>
      </c>
    </row>
    <row r="213" customFormat="false" ht="12.8" hidden="false" customHeight="false" outlineLevel="0" collapsed="false">
      <c r="A213" s="8">
        <f t="array" ref="A213">IFERROR(INDEX(Materiales!$A$2:$A$300,MATCH(0,COUNTIF($A$1:A212,Materiales!$A$2:$A$300)+IF(Materiales!$A$2:$A$300="",1,0),0)),"")</f>
      </c>
      <c r="B213" s="8">
        <f t="array" ref="B213">IFERROR(INDEX(Colecciones!$A$2:$A$300,MATCH(0,COUNTIF($B$1:B212,Colecciones!$A$2:$A$300)+IF(Colecciones!$A$2:$A$300="",1,0),0)),"")</f>
      </c>
    </row>
    <row r="214" customFormat="false" ht="12.8" hidden="false" customHeight="false" outlineLevel="0" collapsed="false">
      <c r="A214" s="8">
        <f t="array" ref="A214">IFERROR(INDEX(Materiales!$A$2:$A$300,MATCH(0,COUNTIF($A$1:A213,Materiales!$A$2:$A$300)+IF(Materiales!$A$2:$A$300="",1,0),0)),"")</f>
      </c>
      <c r="B214" s="8">
        <f t="array" ref="B214">IFERROR(INDEX(Colecciones!$A$2:$A$300,MATCH(0,COUNTIF($B$1:B213,Colecciones!$A$2:$A$300)+IF(Colecciones!$A$2:$A$300="",1,0),0)),"")</f>
      </c>
    </row>
    <row r="215" customFormat="false" ht="12.8" hidden="false" customHeight="false" outlineLevel="0" collapsed="false">
      <c r="A215" s="8">
        <f t="array" ref="A215">IFERROR(INDEX(Materiales!$A$2:$A$300,MATCH(0,COUNTIF($A$1:A214,Materiales!$A$2:$A$300)+IF(Materiales!$A$2:$A$300="",1,0),0)),"")</f>
      </c>
      <c r="B215" s="8">
        <f t="array" ref="B215">IFERROR(INDEX(Colecciones!$A$2:$A$300,MATCH(0,COUNTIF($B$1:B214,Colecciones!$A$2:$A$300)+IF(Colecciones!$A$2:$A$300="",1,0),0)),"")</f>
      </c>
    </row>
    <row r="216" customFormat="false" ht="12.8" hidden="false" customHeight="false" outlineLevel="0" collapsed="false">
      <c r="A216" s="8">
        <f t="array" ref="A216">IFERROR(INDEX(Materiales!$A$2:$A$300,MATCH(0,COUNTIF($A$1:A215,Materiales!$A$2:$A$300)+IF(Materiales!$A$2:$A$300="",1,0),0)),"")</f>
      </c>
      <c r="B216" s="8">
        <f t="array" ref="B216">IFERROR(INDEX(Colecciones!$A$2:$A$300,MATCH(0,COUNTIF($B$1:B215,Colecciones!$A$2:$A$300)+IF(Colecciones!$A$2:$A$300="",1,0),0)),"")</f>
      </c>
    </row>
    <row r="217" customFormat="false" ht="12.8" hidden="false" customHeight="false" outlineLevel="0" collapsed="false">
      <c r="A217" s="8">
        <f t="array" ref="A217">IFERROR(INDEX(Materiales!$A$2:$A$300,MATCH(0,COUNTIF($A$1:A216,Materiales!$A$2:$A$300)+IF(Materiales!$A$2:$A$300="",1,0),0)),"")</f>
      </c>
      <c r="B217" s="8">
        <f t="array" ref="B217">IFERROR(INDEX(Colecciones!$A$2:$A$300,MATCH(0,COUNTIF($B$1:B216,Colecciones!$A$2:$A$300)+IF(Colecciones!$A$2:$A$300="",1,0),0)),"")</f>
      </c>
    </row>
    <row r="218" customFormat="false" ht="12.8" hidden="false" customHeight="false" outlineLevel="0" collapsed="false">
      <c r="A218" s="8">
        <f t="array" ref="A218">IFERROR(INDEX(Materiales!$A$2:$A$300,MATCH(0,COUNTIF($A$1:A217,Materiales!$A$2:$A$300)+IF(Materiales!$A$2:$A$300="",1,0),0)),"")</f>
      </c>
      <c r="B218" s="8">
        <f t="array" ref="B218">IFERROR(INDEX(Colecciones!$A$2:$A$300,MATCH(0,COUNTIF($B$1:B217,Colecciones!$A$2:$A$300)+IF(Colecciones!$A$2:$A$300="",1,0),0)),"")</f>
      </c>
    </row>
    <row r="219" customFormat="false" ht="12.8" hidden="false" customHeight="false" outlineLevel="0" collapsed="false">
      <c r="A219" s="8">
        <f t="array" ref="A219">IFERROR(INDEX(Materiales!$A$2:$A$300,MATCH(0,COUNTIF($A$1:A218,Materiales!$A$2:$A$300)+IF(Materiales!$A$2:$A$300="",1,0),0)),"")</f>
      </c>
      <c r="B219" s="8">
        <f t="array" ref="B219">IFERROR(INDEX(Colecciones!$A$2:$A$300,MATCH(0,COUNTIF($B$1:B218,Colecciones!$A$2:$A$300)+IF(Colecciones!$A$2:$A$300="",1,0),0)),"")</f>
      </c>
    </row>
    <row r="220" customFormat="false" ht="12.8" hidden="false" customHeight="false" outlineLevel="0" collapsed="false">
      <c r="A220" s="8">
        <f t="array" ref="A220">IFERROR(INDEX(Materiales!$A$2:$A$300,MATCH(0,COUNTIF($A$1:A219,Materiales!$A$2:$A$300)+IF(Materiales!$A$2:$A$300="",1,0),0)),"")</f>
      </c>
      <c r="B220" s="8">
        <f t="array" ref="B220">IFERROR(INDEX(Colecciones!$A$2:$A$300,MATCH(0,COUNTIF($B$1:B219,Colecciones!$A$2:$A$300)+IF(Colecciones!$A$2:$A$300="",1,0),0)),"")</f>
      </c>
    </row>
    <row r="221" customFormat="false" ht="12.8" hidden="false" customHeight="false" outlineLevel="0" collapsed="false">
      <c r="A221" s="8">
        <f t="array" ref="A221">IFERROR(INDEX(Materiales!$A$2:$A$300,MATCH(0,COUNTIF($A$1:A220,Materiales!$A$2:$A$300)+IF(Materiales!$A$2:$A$300="",1,0),0)),"")</f>
      </c>
      <c r="B221" s="8">
        <f t="array" ref="B221">IFERROR(INDEX(Colecciones!$A$2:$A$300,MATCH(0,COUNTIF($B$1:B220,Colecciones!$A$2:$A$300)+IF(Colecciones!$A$2:$A$300="",1,0),0)),"")</f>
      </c>
    </row>
    <row r="222" customFormat="false" ht="12.8" hidden="false" customHeight="false" outlineLevel="0" collapsed="false">
      <c r="A222" s="8">
        <f t="array" ref="A222">IFERROR(INDEX(Materiales!$A$2:$A$300,MATCH(0,COUNTIF($A$1:A221,Materiales!$A$2:$A$300)+IF(Materiales!$A$2:$A$300="",1,0),0)),"")</f>
      </c>
      <c r="B222" s="8">
        <f t="array" ref="B222">IFERROR(INDEX(Colecciones!$A$2:$A$300,MATCH(0,COUNTIF($B$1:B221,Colecciones!$A$2:$A$300)+IF(Colecciones!$A$2:$A$300="",1,0),0)),"")</f>
      </c>
    </row>
    <row r="223" customFormat="false" ht="12.8" hidden="false" customHeight="false" outlineLevel="0" collapsed="false">
      <c r="A223" s="8">
        <f t="array" ref="A223">IFERROR(INDEX(Materiales!$A$2:$A$300,MATCH(0,COUNTIF($A$1:A222,Materiales!$A$2:$A$300)+IF(Materiales!$A$2:$A$300="",1,0),0)),"")</f>
      </c>
      <c r="B223" s="8">
        <f t="array" ref="B223">IFERROR(INDEX(Colecciones!$A$2:$A$300,MATCH(0,COUNTIF($B$1:B222,Colecciones!$A$2:$A$300)+IF(Colecciones!$A$2:$A$300="",1,0),0)),"")</f>
      </c>
    </row>
    <row r="224" customFormat="false" ht="12.8" hidden="false" customHeight="false" outlineLevel="0" collapsed="false">
      <c r="A224" s="8">
        <f t="array" ref="A224">IFERROR(INDEX(Materiales!$A$2:$A$300,MATCH(0,COUNTIF($A$1:A223,Materiales!$A$2:$A$300)+IF(Materiales!$A$2:$A$300="",1,0),0)),"")</f>
      </c>
      <c r="B224" s="8">
        <f t="array" ref="B224">IFERROR(INDEX(Colecciones!$A$2:$A$300,MATCH(0,COUNTIF($B$1:B223,Colecciones!$A$2:$A$300)+IF(Colecciones!$A$2:$A$300="",1,0),0)),"")</f>
      </c>
    </row>
    <row r="225" customFormat="false" ht="12.8" hidden="false" customHeight="false" outlineLevel="0" collapsed="false">
      <c r="A225" s="8">
        <f t="array" ref="A225">IFERROR(INDEX(Materiales!$A$2:$A$300,MATCH(0,COUNTIF($A$1:A224,Materiales!$A$2:$A$300)+IF(Materiales!$A$2:$A$300="",1,0),0)),"")</f>
      </c>
      <c r="B225" s="8">
        <f t="array" ref="B225">IFERROR(INDEX(Colecciones!$A$2:$A$300,MATCH(0,COUNTIF($B$1:B224,Colecciones!$A$2:$A$300)+IF(Colecciones!$A$2:$A$300="",1,0),0)),"")</f>
      </c>
    </row>
    <row r="226" customFormat="false" ht="12.8" hidden="false" customHeight="false" outlineLevel="0" collapsed="false">
      <c r="A226" s="8">
        <f t="array" ref="A226">IFERROR(INDEX(Materiales!$A$2:$A$300,MATCH(0,COUNTIF($A$1:A225,Materiales!$A$2:$A$300)+IF(Materiales!$A$2:$A$300="",1,0),0)),"")</f>
      </c>
      <c r="B226" s="8">
        <f t="array" ref="B226">IFERROR(INDEX(Colecciones!$A$2:$A$300,MATCH(0,COUNTIF($B$1:B225,Colecciones!$A$2:$A$300)+IF(Colecciones!$A$2:$A$300="",1,0),0)),"")</f>
      </c>
    </row>
    <row r="227" customFormat="false" ht="12.8" hidden="false" customHeight="false" outlineLevel="0" collapsed="false">
      <c r="A227" s="8">
        <f t="array" ref="A227">IFERROR(INDEX(Materiales!$A$2:$A$300,MATCH(0,COUNTIF($A$1:A226,Materiales!$A$2:$A$300)+IF(Materiales!$A$2:$A$300="",1,0),0)),"")</f>
      </c>
      <c r="B227" s="8">
        <f t="array" ref="B227">IFERROR(INDEX(Colecciones!$A$2:$A$300,MATCH(0,COUNTIF($B$1:B226,Colecciones!$A$2:$A$300)+IF(Colecciones!$A$2:$A$300="",1,0),0)),"")</f>
      </c>
    </row>
    <row r="228" customFormat="false" ht="12.8" hidden="false" customHeight="false" outlineLevel="0" collapsed="false">
      <c r="A228" s="8">
        <f t="array" ref="A228">IFERROR(INDEX(Materiales!$A$2:$A$300,MATCH(0,COUNTIF($A$1:A227,Materiales!$A$2:$A$300)+IF(Materiales!$A$2:$A$300="",1,0),0)),"")</f>
      </c>
      <c r="B228" s="8">
        <f t="array" ref="B228">IFERROR(INDEX(Colecciones!$A$2:$A$300,MATCH(0,COUNTIF($B$1:B227,Colecciones!$A$2:$A$300)+IF(Colecciones!$A$2:$A$300="",1,0),0)),"")</f>
      </c>
    </row>
    <row r="229" customFormat="false" ht="12.8" hidden="false" customHeight="false" outlineLevel="0" collapsed="false">
      <c r="A229" s="8">
        <f t="array" ref="A229">IFERROR(INDEX(Materiales!$A$2:$A$300,MATCH(0,COUNTIF($A$1:A228,Materiales!$A$2:$A$300)+IF(Materiales!$A$2:$A$300="",1,0),0)),"")</f>
      </c>
      <c r="B229" s="8">
        <f t="array" ref="B229">IFERROR(INDEX(Colecciones!$A$2:$A$300,MATCH(0,COUNTIF($B$1:B228,Colecciones!$A$2:$A$300)+IF(Colecciones!$A$2:$A$300="",1,0),0)),"")</f>
      </c>
    </row>
    <row r="230" customFormat="false" ht="12.8" hidden="false" customHeight="false" outlineLevel="0" collapsed="false">
      <c r="A230" s="8">
        <f t="array" ref="A230">IFERROR(INDEX(Materiales!$A$2:$A$300,MATCH(0,COUNTIF($A$1:A229,Materiales!$A$2:$A$300)+IF(Materiales!$A$2:$A$300="",1,0),0)),"")</f>
      </c>
      <c r="B230" s="8">
        <f t="array" ref="B230">IFERROR(INDEX(Colecciones!$A$2:$A$300,MATCH(0,COUNTIF($B$1:B229,Colecciones!$A$2:$A$300)+IF(Colecciones!$A$2:$A$300="",1,0),0)),"")</f>
      </c>
    </row>
    <row r="231" customFormat="false" ht="12.8" hidden="false" customHeight="false" outlineLevel="0" collapsed="false">
      <c r="A231" s="8">
        <f t="array" ref="A231">IFERROR(INDEX(Materiales!$A$2:$A$300,MATCH(0,COUNTIF($A$1:A230,Materiales!$A$2:$A$300)+IF(Materiales!$A$2:$A$300="",1,0),0)),"")</f>
      </c>
      <c r="B231" s="8">
        <f t="array" ref="B231">IFERROR(INDEX(Colecciones!$A$2:$A$300,MATCH(0,COUNTIF($B$1:B230,Colecciones!$A$2:$A$300)+IF(Colecciones!$A$2:$A$300="",1,0),0)),"")</f>
      </c>
    </row>
    <row r="232" customFormat="false" ht="12.8" hidden="false" customHeight="false" outlineLevel="0" collapsed="false">
      <c r="A232" s="8">
        <f t="array" ref="A232">IFERROR(INDEX(Materiales!$A$2:$A$300,MATCH(0,COUNTIF($A$1:A231,Materiales!$A$2:$A$300)+IF(Materiales!$A$2:$A$300="",1,0),0)),"")</f>
      </c>
      <c r="B232" s="8">
        <f t="array" ref="B232">IFERROR(INDEX(Colecciones!$A$2:$A$300,MATCH(0,COUNTIF($B$1:B231,Colecciones!$A$2:$A$300)+IF(Colecciones!$A$2:$A$300="",1,0),0)),"")</f>
      </c>
    </row>
    <row r="233" customFormat="false" ht="12.8" hidden="false" customHeight="false" outlineLevel="0" collapsed="false">
      <c r="A233" s="8">
        <f t="array" ref="A233">IFERROR(INDEX(Materiales!$A$2:$A$300,MATCH(0,COUNTIF($A$1:A232,Materiales!$A$2:$A$300)+IF(Materiales!$A$2:$A$300="",1,0),0)),"")</f>
      </c>
      <c r="B233" s="8">
        <f t="array" ref="B233">IFERROR(INDEX(Colecciones!$A$2:$A$300,MATCH(0,COUNTIF($B$1:B232,Colecciones!$A$2:$A$300)+IF(Colecciones!$A$2:$A$300="",1,0),0)),"")</f>
      </c>
    </row>
    <row r="234" customFormat="false" ht="12.8" hidden="false" customHeight="false" outlineLevel="0" collapsed="false">
      <c r="A234" s="8">
        <f t="array" ref="A234">IFERROR(INDEX(Materiales!$A$2:$A$300,MATCH(0,COUNTIF($A$1:A233,Materiales!$A$2:$A$300)+IF(Materiales!$A$2:$A$300="",1,0),0)),"")</f>
      </c>
      <c r="B234" s="8">
        <f t="array" ref="B234">IFERROR(INDEX(Colecciones!$A$2:$A$300,MATCH(0,COUNTIF($B$1:B233,Colecciones!$A$2:$A$300)+IF(Colecciones!$A$2:$A$300="",1,0),0)),"")</f>
      </c>
    </row>
    <row r="235" customFormat="false" ht="12.8" hidden="false" customHeight="false" outlineLevel="0" collapsed="false">
      <c r="A235" s="8">
        <f t="array" ref="A235">IFERROR(INDEX(Materiales!$A$2:$A$300,MATCH(0,COUNTIF($A$1:A234,Materiales!$A$2:$A$300)+IF(Materiales!$A$2:$A$300="",1,0),0)),"")</f>
      </c>
      <c r="B235" s="8">
        <f t="array" ref="B235">IFERROR(INDEX(Colecciones!$A$2:$A$300,MATCH(0,COUNTIF($B$1:B234,Colecciones!$A$2:$A$300)+IF(Colecciones!$A$2:$A$300="",1,0),0)),"")</f>
      </c>
    </row>
    <row r="236" customFormat="false" ht="12.8" hidden="false" customHeight="false" outlineLevel="0" collapsed="false">
      <c r="A236" s="8">
        <f t="array" ref="A236">IFERROR(INDEX(Materiales!$A$2:$A$300,MATCH(0,COUNTIF($A$1:A235,Materiales!$A$2:$A$300)+IF(Materiales!$A$2:$A$300="",1,0),0)),"")</f>
      </c>
      <c r="B236" s="8">
        <f t="array" ref="B236">IFERROR(INDEX(Colecciones!$A$2:$A$300,MATCH(0,COUNTIF($B$1:B235,Colecciones!$A$2:$A$300)+IF(Colecciones!$A$2:$A$300="",1,0),0)),"")</f>
      </c>
    </row>
    <row r="237" customFormat="false" ht="12.8" hidden="false" customHeight="false" outlineLevel="0" collapsed="false">
      <c r="A237" s="8">
        <f t="array" ref="A237">IFERROR(INDEX(Materiales!$A$2:$A$300,MATCH(0,COUNTIF($A$1:A236,Materiales!$A$2:$A$300)+IF(Materiales!$A$2:$A$300="",1,0),0)),"")</f>
      </c>
      <c r="B237" s="8">
        <f t="array" ref="B237">IFERROR(INDEX(Colecciones!$A$2:$A$300,MATCH(0,COUNTIF($B$1:B236,Colecciones!$A$2:$A$300)+IF(Colecciones!$A$2:$A$300="",1,0),0)),"")</f>
      </c>
    </row>
    <row r="238" customFormat="false" ht="12.8" hidden="false" customHeight="false" outlineLevel="0" collapsed="false">
      <c r="A238" s="8">
        <f t="array" ref="A238">IFERROR(INDEX(Materiales!$A$2:$A$300,MATCH(0,COUNTIF($A$1:A237,Materiales!$A$2:$A$300)+IF(Materiales!$A$2:$A$300="",1,0),0)),"")</f>
      </c>
      <c r="B238" s="8">
        <f t="array" ref="B238">IFERROR(INDEX(Colecciones!$A$2:$A$300,MATCH(0,COUNTIF($B$1:B237,Colecciones!$A$2:$A$300)+IF(Colecciones!$A$2:$A$300="",1,0),0)),"")</f>
      </c>
    </row>
    <row r="239" customFormat="false" ht="12.8" hidden="false" customHeight="false" outlineLevel="0" collapsed="false">
      <c r="A239" s="8">
        <f t="array" ref="A239">IFERROR(INDEX(Materiales!$A$2:$A$300,MATCH(0,COUNTIF($A$1:A238,Materiales!$A$2:$A$300)+IF(Materiales!$A$2:$A$300="",1,0),0)),"")</f>
      </c>
      <c r="B239" s="8">
        <f t="array" ref="B239">IFERROR(INDEX(Colecciones!$A$2:$A$300,MATCH(0,COUNTIF($B$1:B238,Colecciones!$A$2:$A$300)+IF(Colecciones!$A$2:$A$300="",1,0),0)),"")</f>
      </c>
    </row>
    <row r="240" customFormat="false" ht="12.8" hidden="false" customHeight="false" outlineLevel="0" collapsed="false">
      <c r="A240" s="8">
        <f t="array" ref="A240">IFERROR(INDEX(Materiales!$A$2:$A$300,MATCH(0,COUNTIF($A$1:A239,Materiales!$A$2:$A$300)+IF(Materiales!$A$2:$A$300="",1,0),0)),"")</f>
      </c>
      <c r="B240" s="8">
        <f t="array" ref="B240">IFERROR(INDEX(Colecciones!$A$2:$A$300,MATCH(0,COUNTIF($B$1:B239,Colecciones!$A$2:$A$300)+IF(Colecciones!$A$2:$A$300="",1,0),0)),"")</f>
      </c>
    </row>
    <row r="241" customFormat="false" ht="12.8" hidden="false" customHeight="false" outlineLevel="0" collapsed="false">
      <c r="A241" s="8">
        <f t="array" ref="A241">IFERROR(INDEX(Materiales!$A$2:$A$300,MATCH(0,COUNTIF($A$1:A240,Materiales!$A$2:$A$300)+IF(Materiales!$A$2:$A$300="",1,0),0)),"")</f>
      </c>
      <c r="B241" s="8">
        <f t="array" ref="B241">IFERROR(INDEX(Colecciones!$A$2:$A$300,MATCH(0,COUNTIF($B$1:B240,Colecciones!$A$2:$A$300)+IF(Colecciones!$A$2:$A$300="",1,0),0)),"")</f>
      </c>
    </row>
    <row r="242" customFormat="false" ht="12.8" hidden="false" customHeight="false" outlineLevel="0" collapsed="false">
      <c r="A242" s="8">
        <f t="array" ref="A242">IFERROR(INDEX(Materiales!$A$2:$A$300,MATCH(0,COUNTIF($A$1:A241,Materiales!$A$2:$A$300)+IF(Materiales!$A$2:$A$300="",1,0),0)),"")</f>
      </c>
      <c r="B242" s="8">
        <f t="array" ref="B242">IFERROR(INDEX(Colecciones!$A$2:$A$300,MATCH(0,COUNTIF($B$1:B241,Colecciones!$A$2:$A$300)+IF(Colecciones!$A$2:$A$300="",1,0),0)),"")</f>
      </c>
    </row>
    <row r="243" customFormat="false" ht="12.8" hidden="false" customHeight="false" outlineLevel="0" collapsed="false">
      <c r="A243" s="8">
        <f t="array" ref="A243">IFERROR(INDEX(Materiales!$A$2:$A$300,MATCH(0,COUNTIF($A$1:A242,Materiales!$A$2:$A$300)+IF(Materiales!$A$2:$A$300="",1,0),0)),"")</f>
      </c>
      <c r="B243" s="8">
        <f t="array" ref="B243">IFERROR(INDEX(Colecciones!$A$2:$A$300,MATCH(0,COUNTIF($B$1:B242,Colecciones!$A$2:$A$300)+IF(Colecciones!$A$2:$A$300="",1,0),0)),"")</f>
      </c>
    </row>
    <row r="244" customFormat="false" ht="12.8" hidden="false" customHeight="false" outlineLevel="0" collapsed="false">
      <c r="A244" s="8">
        <f t="array" ref="A244">IFERROR(INDEX(Materiales!$A$2:$A$300,MATCH(0,COUNTIF($A$1:A243,Materiales!$A$2:$A$300)+IF(Materiales!$A$2:$A$300="",1,0),0)),"")</f>
      </c>
      <c r="B244" s="8">
        <f t="array" ref="B244">IFERROR(INDEX(Colecciones!$A$2:$A$300,MATCH(0,COUNTIF($B$1:B243,Colecciones!$A$2:$A$300)+IF(Colecciones!$A$2:$A$300="",1,0),0)),"")</f>
      </c>
    </row>
    <row r="245" customFormat="false" ht="12.8" hidden="false" customHeight="false" outlineLevel="0" collapsed="false">
      <c r="A245" s="8">
        <f t="array" ref="A245">IFERROR(INDEX(Materiales!$A$2:$A$300,MATCH(0,COUNTIF($A$1:A244,Materiales!$A$2:$A$300)+IF(Materiales!$A$2:$A$300="",1,0),0)),"")</f>
      </c>
      <c r="B245" s="8">
        <f t="array" ref="B245">IFERROR(INDEX(Colecciones!$A$2:$A$300,MATCH(0,COUNTIF($B$1:B244,Colecciones!$A$2:$A$300)+IF(Colecciones!$A$2:$A$300="",1,0),0)),"")</f>
      </c>
    </row>
    <row r="246" customFormat="false" ht="12.8" hidden="false" customHeight="false" outlineLevel="0" collapsed="false">
      <c r="A246" s="8">
        <f t="array" ref="A246">IFERROR(INDEX(Materiales!$A$2:$A$300,MATCH(0,COUNTIF($A$1:A245,Materiales!$A$2:$A$300)+IF(Materiales!$A$2:$A$300="",1,0),0)),"")</f>
      </c>
      <c r="B246" s="8">
        <f t="array" ref="B246">IFERROR(INDEX(Colecciones!$A$2:$A$300,MATCH(0,COUNTIF($B$1:B245,Colecciones!$A$2:$A$300)+IF(Colecciones!$A$2:$A$300="",1,0),0)),"")</f>
      </c>
    </row>
    <row r="247" customFormat="false" ht="12.8" hidden="false" customHeight="false" outlineLevel="0" collapsed="false">
      <c r="A247" s="8">
        <f t="array" ref="A247">IFERROR(INDEX(Materiales!$A$2:$A$300,MATCH(0,COUNTIF($A$1:A246,Materiales!$A$2:$A$300)+IF(Materiales!$A$2:$A$300="",1,0),0)),"")</f>
      </c>
      <c r="B247" s="8">
        <f t="array" ref="B247">IFERROR(INDEX(Colecciones!$A$2:$A$300,MATCH(0,COUNTIF($B$1:B246,Colecciones!$A$2:$A$300)+IF(Colecciones!$A$2:$A$300="",1,0),0)),"")</f>
      </c>
    </row>
    <row r="248" customFormat="false" ht="12.8" hidden="false" customHeight="false" outlineLevel="0" collapsed="false">
      <c r="A248" s="8">
        <f t="array" ref="A248">IFERROR(INDEX(Materiales!$A$2:$A$300,MATCH(0,COUNTIF($A$1:A247,Materiales!$A$2:$A$300)+IF(Materiales!$A$2:$A$300="",1,0),0)),"")</f>
      </c>
      <c r="B248" s="8">
        <f t="array" ref="B248">IFERROR(INDEX(Colecciones!$A$2:$A$300,MATCH(0,COUNTIF($B$1:B247,Colecciones!$A$2:$A$300)+IF(Colecciones!$A$2:$A$300="",1,0),0)),"")</f>
      </c>
    </row>
    <row r="249" customFormat="false" ht="12.8" hidden="false" customHeight="false" outlineLevel="0" collapsed="false">
      <c r="A249" s="8">
        <f t="array" ref="A249">IFERROR(INDEX(Materiales!$A$2:$A$300,MATCH(0,COUNTIF($A$1:A248,Materiales!$A$2:$A$300)+IF(Materiales!$A$2:$A$300="",1,0),0)),"")</f>
      </c>
      <c r="B249" s="8">
        <f t="array" ref="B249">IFERROR(INDEX(Colecciones!$A$2:$A$300,MATCH(0,COUNTIF($B$1:B248,Colecciones!$A$2:$A$300)+IF(Colecciones!$A$2:$A$300="",1,0),0)),"")</f>
      </c>
    </row>
    <row r="250" customFormat="false" ht="12.8" hidden="false" customHeight="false" outlineLevel="0" collapsed="false">
      <c r="A250" s="8">
        <f t="array" ref="A250">IFERROR(INDEX(Materiales!$A$2:$A$300,MATCH(0,COUNTIF($A$1:A249,Materiales!$A$2:$A$300)+IF(Materiales!$A$2:$A$300="",1,0),0)),"")</f>
      </c>
      <c r="B250" s="8">
        <f t="array" ref="B250">IFERROR(INDEX(Colecciones!$A$2:$A$300,MATCH(0,COUNTIF($B$1:B249,Colecciones!$A$2:$A$300)+IF(Colecciones!$A$2:$A$300="",1,0),0)),"")</f>
      </c>
    </row>
    <row r="251" customFormat="false" ht="12.8" hidden="false" customHeight="false" outlineLevel="0" collapsed="false">
      <c r="A251" s="8">
        <f t="array" ref="A251">IFERROR(INDEX(Materiales!$A$2:$A$300,MATCH(0,COUNTIF($A$1:A250,Materiales!$A$2:$A$300)+IF(Materiales!$A$2:$A$300="",1,0),0)),"")</f>
      </c>
      <c r="B251" s="8">
        <f t="array" ref="B251">IFERROR(INDEX(Colecciones!$A$2:$A$300,MATCH(0,COUNTIF($B$1:B250,Colecciones!$A$2:$A$300)+IF(Colecciones!$A$2:$A$300="",1,0),0)),"")</f>
      </c>
    </row>
    <row r="252" customFormat="false" ht="12.8" hidden="false" customHeight="false" outlineLevel="0" collapsed="false">
      <c r="A252" s="8">
        <f t="array" ref="A252">IFERROR(INDEX(Materiales!$A$2:$A$300,MATCH(0,COUNTIF($A$1:A251,Materiales!$A$2:$A$300)+IF(Materiales!$A$2:$A$300="",1,0),0)),"")</f>
      </c>
      <c r="B252" s="8">
        <f t="array" ref="B252">IFERROR(INDEX(Colecciones!$A$2:$A$300,MATCH(0,COUNTIF($B$1:B251,Colecciones!$A$2:$A$300)+IF(Colecciones!$A$2:$A$300="",1,0),0)),"")</f>
      </c>
    </row>
    <row r="253" customFormat="false" ht="12.8" hidden="false" customHeight="false" outlineLevel="0" collapsed="false">
      <c r="A253" s="8">
        <f t="array" ref="A253">IFERROR(INDEX(Materiales!$A$2:$A$300,MATCH(0,COUNTIF($A$1:A252,Materiales!$A$2:$A$300)+IF(Materiales!$A$2:$A$300="",1,0),0)),"")</f>
      </c>
      <c r="B253" s="8">
        <f t="array" ref="B253">IFERROR(INDEX(Colecciones!$A$2:$A$300,MATCH(0,COUNTIF($B$1:B252,Colecciones!$A$2:$A$300)+IF(Colecciones!$A$2:$A$300="",1,0),0)),"")</f>
      </c>
    </row>
    <row r="254" customFormat="false" ht="12.8" hidden="false" customHeight="false" outlineLevel="0" collapsed="false">
      <c r="A254" s="8">
        <f t="array" ref="A254">IFERROR(INDEX(Materiales!$A$2:$A$300,MATCH(0,COUNTIF($A$1:A253,Materiales!$A$2:$A$300)+IF(Materiales!$A$2:$A$300="",1,0),0)),"")</f>
      </c>
      <c r="B254" s="8">
        <f t="array" ref="B254">IFERROR(INDEX(Colecciones!$A$2:$A$300,MATCH(0,COUNTIF($B$1:B253,Colecciones!$A$2:$A$300)+IF(Colecciones!$A$2:$A$300="",1,0),0)),"")</f>
      </c>
    </row>
    <row r="255" customFormat="false" ht="12.8" hidden="false" customHeight="false" outlineLevel="0" collapsed="false">
      <c r="A255" s="8">
        <f t="array" ref="A255">IFERROR(INDEX(Materiales!$A$2:$A$300,MATCH(0,COUNTIF($A$1:A254,Materiales!$A$2:$A$300)+IF(Materiales!$A$2:$A$300="",1,0),0)),"")</f>
      </c>
      <c r="B255" s="8">
        <f t="array" ref="B255">IFERROR(INDEX(Colecciones!$A$2:$A$300,MATCH(0,COUNTIF($B$1:B254,Colecciones!$A$2:$A$300)+IF(Colecciones!$A$2:$A$300="",1,0),0)),"")</f>
      </c>
    </row>
    <row r="256" customFormat="false" ht="12.8" hidden="false" customHeight="false" outlineLevel="0" collapsed="false">
      <c r="A256" s="8">
        <f t="array" ref="A256">IFERROR(INDEX(Materiales!$A$2:$A$300,MATCH(0,COUNTIF($A$1:A255,Materiales!$A$2:$A$300)+IF(Materiales!$A$2:$A$300="",1,0),0)),"")</f>
      </c>
      <c r="B256" s="8">
        <f t="array" ref="B256">IFERROR(INDEX(Colecciones!$A$2:$A$300,MATCH(0,COUNTIF($B$1:B255,Colecciones!$A$2:$A$300)+IF(Colecciones!$A$2:$A$300="",1,0),0)),"")</f>
      </c>
    </row>
    <row r="257" customFormat="false" ht="12.8" hidden="false" customHeight="false" outlineLevel="0" collapsed="false">
      <c r="A257" s="8">
        <f t="array" ref="A257">IFERROR(INDEX(Materiales!$A$2:$A$300,MATCH(0,COUNTIF($A$1:A256,Materiales!$A$2:$A$300)+IF(Materiales!$A$2:$A$300="",1,0),0)),"")</f>
      </c>
      <c r="B257" s="8">
        <f t="array" ref="B257">IFERROR(INDEX(Colecciones!$A$2:$A$300,MATCH(0,COUNTIF($B$1:B256,Colecciones!$A$2:$A$300)+IF(Colecciones!$A$2:$A$300="",1,0),0)),"")</f>
      </c>
    </row>
    <row r="258" customFormat="false" ht="12.8" hidden="false" customHeight="false" outlineLevel="0" collapsed="false">
      <c r="A258" s="8">
        <f t="array" ref="A258">IFERROR(INDEX(Materiales!$A$2:$A$300,MATCH(0,COUNTIF($A$1:A257,Materiales!$A$2:$A$300)+IF(Materiales!$A$2:$A$300="",1,0),0)),"")</f>
      </c>
      <c r="B258" s="8">
        <f t="array" ref="B258">IFERROR(INDEX(Colecciones!$A$2:$A$300,MATCH(0,COUNTIF($B$1:B257,Colecciones!$A$2:$A$300)+IF(Colecciones!$A$2:$A$300="",1,0),0)),"")</f>
      </c>
    </row>
    <row r="259" customFormat="false" ht="12.8" hidden="false" customHeight="false" outlineLevel="0" collapsed="false">
      <c r="A259" s="8">
        <f t="array" ref="A259">IFERROR(INDEX(Materiales!$A$2:$A$300,MATCH(0,COUNTIF($A$1:A258,Materiales!$A$2:$A$300)+IF(Materiales!$A$2:$A$300="",1,0),0)),"")</f>
      </c>
      <c r="B259" s="8">
        <f t="array" ref="B259">IFERROR(INDEX(Colecciones!$A$2:$A$300,MATCH(0,COUNTIF($B$1:B258,Colecciones!$A$2:$A$300)+IF(Colecciones!$A$2:$A$300="",1,0),0)),"")</f>
      </c>
    </row>
    <row r="260" customFormat="false" ht="12.8" hidden="false" customHeight="false" outlineLevel="0" collapsed="false">
      <c r="A260" s="8">
        <f t="array" ref="A260">IFERROR(INDEX(Materiales!$A$2:$A$300,MATCH(0,COUNTIF($A$1:A259,Materiales!$A$2:$A$300)+IF(Materiales!$A$2:$A$300="",1,0),0)),"")</f>
      </c>
      <c r="B260" s="8">
        <f t="array" ref="B260">IFERROR(INDEX(Colecciones!$A$2:$A$300,MATCH(0,COUNTIF($B$1:B259,Colecciones!$A$2:$A$300)+IF(Colecciones!$A$2:$A$300="",1,0),0)),"")</f>
      </c>
    </row>
    <row r="261" customFormat="false" ht="12.8" hidden="false" customHeight="false" outlineLevel="0" collapsed="false">
      <c r="A261" s="8">
        <f t="array" ref="A261">IFERROR(INDEX(Materiales!$A$2:$A$300,MATCH(0,COUNTIF($A$1:A260,Materiales!$A$2:$A$300)+IF(Materiales!$A$2:$A$300="",1,0),0)),"")</f>
      </c>
      <c r="B261" s="8">
        <f t="array" ref="B261">IFERROR(INDEX(Colecciones!$A$2:$A$300,MATCH(0,COUNTIF($B$1:B260,Colecciones!$A$2:$A$300)+IF(Colecciones!$A$2:$A$300="",1,0),0)),"")</f>
      </c>
    </row>
    <row r="262" customFormat="false" ht="12.8" hidden="false" customHeight="false" outlineLevel="0" collapsed="false">
      <c r="A262" s="8">
        <f t="array" ref="A262">IFERROR(INDEX(Materiales!$A$2:$A$300,MATCH(0,COUNTIF($A$1:A261,Materiales!$A$2:$A$300)+IF(Materiales!$A$2:$A$300="",1,0),0)),"")</f>
      </c>
      <c r="B262" s="8">
        <f t="array" ref="B262">IFERROR(INDEX(Colecciones!$A$2:$A$300,MATCH(0,COUNTIF($B$1:B261,Colecciones!$A$2:$A$300)+IF(Colecciones!$A$2:$A$300="",1,0),0)),"")</f>
      </c>
    </row>
    <row r="263" customFormat="false" ht="12.8" hidden="false" customHeight="false" outlineLevel="0" collapsed="false">
      <c r="A263" s="8">
        <f t="array" ref="A263">IFERROR(INDEX(Materiales!$A$2:$A$300,MATCH(0,COUNTIF($A$1:A262,Materiales!$A$2:$A$300)+IF(Materiales!$A$2:$A$300="",1,0),0)),"")</f>
      </c>
      <c r="B263" s="8">
        <f t="array" ref="B263">IFERROR(INDEX(Colecciones!$A$2:$A$300,MATCH(0,COUNTIF($B$1:B262,Colecciones!$A$2:$A$300)+IF(Colecciones!$A$2:$A$300="",1,0),0)),"")</f>
      </c>
    </row>
    <row r="264" customFormat="false" ht="12.8" hidden="false" customHeight="false" outlineLevel="0" collapsed="false">
      <c r="A264" s="8">
        <f t="array" ref="A264">IFERROR(INDEX(Materiales!$A$2:$A$300,MATCH(0,COUNTIF($A$1:A263,Materiales!$A$2:$A$300)+IF(Materiales!$A$2:$A$300="",1,0),0)),"")</f>
      </c>
      <c r="B264" s="8">
        <f t="array" ref="B264">IFERROR(INDEX(Colecciones!$A$2:$A$300,MATCH(0,COUNTIF($B$1:B263,Colecciones!$A$2:$A$300)+IF(Colecciones!$A$2:$A$300="",1,0),0)),"")</f>
      </c>
    </row>
    <row r="265" customFormat="false" ht="12.8" hidden="false" customHeight="false" outlineLevel="0" collapsed="false">
      <c r="A265" s="8">
        <f t="array" ref="A265">IFERROR(INDEX(Materiales!$A$2:$A$300,MATCH(0,COUNTIF($A$1:A264,Materiales!$A$2:$A$300)+IF(Materiales!$A$2:$A$300="",1,0),0)),"")</f>
      </c>
      <c r="B265" s="8">
        <f t="array" ref="B265">IFERROR(INDEX(Colecciones!$A$2:$A$300,MATCH(0,COUNTIF($B$1:B264,Colecciones!$A$2:$A$300)+IF(Colecciones!$A$2:$A$300="",1,0),0)),"")</f>
      </c>
    </row>
    <row r="266" customFormat="false" ht="12.8" hidden="false" customHeight="false" outlineLevel="0" collapsed="false">
      <c r="A266" s="8">
        <f t="array" ref="A266">IFERROR(INDEX(Materiales!$A$2:$A$300,MATCH(0,COUNTIF($A$1:A265,Materiales!$A$2:$A$300)+IF(Materiales!$A$2:$A$300="",1,0),0)),"")</f>
      </c>
      <c r="B266" s="8">
        <f t="array" ref="B266">IFERROR(INDEX(Colecciones!$A$2:$A$300,MATCH(0,COUNTIF($B$1:B265,Colecciones!$A$2:$A$300)+IF(Colecciones!$A$2:$A$300="",1,0),0)),"")</f>
      </c>
    </row>
    <row r="267" customFormat="false" ht="12.8" hidden="false" customHeight="false" outlineLevel="0" collapsed="false">
      <c r="A267" s="8">
        <f t="array" ref="A267">IFERROR(INDEX(Materiales!$A$2:$A$300,MATCH(0,COUNTIF($A$1:A266,Materiales!$A$2:$A$300)+IF(Materiales!$A$2:$A$300="",1,0),0)),"")</f>
      </c>
      <c r="B267" s="8">
        <f t="array" ref="B267">IFERROR(INDEX(Colecciones!$A$2:$A$300,MATCH(0,COUNTIF($B$1:B266,Colecciones!$A$2:$A$300)+IF(Colecciones!$A$2:$A$300="",1,0),0)),"")</f>
      </c>
    </row>
    <row r="268" customFormat="false" ht="12.8" hidden="false" customHeight="false" outlineLevel="0" collapsed="false">
      <c r="A268" s="8">
        <f t="array" ref="A268">IFERROR(INDEX(Materiales!$A$2:$A$300,MATCH(0,COUNTIF($A$1:A267,Materiales!$A$2:$A$300)+IF(Materiales!$A$2:$A$300="",1,0),0)),"")</f>
      </c>
      <c r="B268" s="8">
        <f t="array" ref="B268">IFERROR(INDEX(Colecciones!$A$2:$A$300,MATCH(0,COUNTIF($B$1:B267,Colecciones!$A$2:$A$300)+IF(Colecciones!$A$2:$A$300="",1,0),0)),"")</f>
      </c>
    </row>
    <row r="269" customFormat="false" ht="12.8" hidden="false" customHeight="false" outlineLevel="0" collapsed="false">
      <c r="A269" s="8">
        <f t="array" ref="A269">IFERROR(INDEX(Materiales!$A$2:$A$300,MATCH(0,COUNTIF($A$1:A268,Materiales!$A$2:$A$300)+IF(Materiales!$A$2:$A$300="",1,0),0)),"")</f>
      </c>
      <c r="B269" s="8">
        <f t="array" ref="B269">IFERROR(INDEX(Colecciones!$A$2:$A$300,MATCH(0,COUNTIF($B$1:B268,Colecciones!$A$2:$A$300)+IF(Colecciones!$A$2:$A$300="",1,0),0)),"")</f>
      </c>
    </row>
    <row r="270" customFormat="false" ht="12.8" hidden="false" customHeight="false" outlineLevel="0" collapsed="false">
      <c r="A270" s="8">
        <f t="array" ref="A270">IFERROR(INDEX(Materiales!$A$2:$A$300,MATCH(0,COUNTIF($A$1:A269,Materiales!$A$2:$A$300)+IF(Materiales!$A$2:$A$300="",1,0),0)),"")</f>
      </c>
      <c r="B270" s="8">
        <f t="array" ref="B270">IFERROR(INDEX(Colecciones!$A$2:$A$300,MATCH(0,COUNTIF($B$1:B269,Colecciones!$A$2:$A$300)+IF(Colecciones!$A$2:$A$300="",1,0),0)),"")</f>
      </c>
    </row>
    <row r="271" customFormat="false" ht="12.8" hidden="false" customHeight="false" outlineLevel="0" collapsed="false">
      <c r="A271" s="8">
        <f t="array" ref="A271">IFERROR(INDEX(Materiales!$A$2:$A$300,MATCH(0,COUNTIF($A$1:A270,Materiales!$A$2:$A$300)+IF(Materiales!$A$2:$A$300="",1,0),0)),"")</f>
      </c>
      <c r="B271" s="8">
        <f t="array" ref="B271">IFERROR(INDEX(Colecciones!$A$2:$A$300,MATCH(0,COUNTIF($B$1:B270,Colecciones!$A$2:$A$300)+IF(Colecciones!$A$2:$A$300="",1,0),0)),"")</f>
      </c>
    </row>
    <row r="272" customFormat="false" ht="12.8" hidden="false" customHeight="false" outlineLevel="0" collapsed="false">
      <c r="A272" s="8">
        <f t="array" ref="A272">IFERROR(INDEX(Materiales!$A$2:$A$300,MATCH(0,COUNTIF($A$1:A271,Materiales!$A$2:$A$300)+IF(Materiales!$A$2:$A$300="",1,0),0)),"")</f>
      </c>
      <c r="B272" s="8">
        <f t="array" ref="B272">IFERROR(INDEX(Colecciones!$A$2:$A$300,MATCH(0,COUNTIF($B$1:B271,Colecciones!$A$2:$A$300)+IF(Colecciones!$A$2:$A$300="",1,0),0)),"")</f>
      </c>
    </row>
    <row r="273" customFormat="false" ht="12.8" hidden="false" customHeight="false" outlineLevel="0" collapsed="false">
      <c r="A273" s="8">
        <f t="array" ref="A273">IFERROR(INDEX(Materiales!$A$2:$A$300,MATCH(0,COUNTIF($A$1:A272,Materiales!$A$2:$A$300)+IF(Materiales!$A$2:$A$300="",1,0),0)),"")</f>
      </c>
      <c r="B273" s="8">
        <f t="array" ref="B273">IFERROR(INDEX(Colecciones!$A$2:$A$300,MATCH(0,COUNTIF($B$1:B272,Colecciones!$A$2:$A$300)+IF(Colecciones!$A$2:$A$300="",1,0),0)),"")</f>
      </c>
    </row>
    <row r="274" customFormat="false" ht="12.8" hidden="false" customHeight="false" outlineLevel="0" collapsed="false">
      <c r="A274" s="8">
        <f t="array" ref="A274">IFERROR(INDEX(Materiales!$A$2:$A$300,MATCH(0,COUNTIF($A$1:A273,Materiales!$A$2:$A$300)+IF(Materiales!$A$2:$A$300="",1,0),0)),"")</f>
      </c>
      <c r="B274" s="8">
        <f t="array" ref="B274">IFERROR(INDEX(Colecciones!$A$2:$A$300,MATCH(0,COUNTIF($B$1:B273,Colecciones!$A$2:$A$300)+IF(Colecciones!$A$2:$A$300="",1,0),0)),"")</f>
      </c>
    </row>
    <row r="275" customFormat="false" ht="12.8" hidden="false" customHeight="false" outlineLevel="0" collapsed="false">
      <c r="A275" s="8">
        <f t="array" ref="A275">IFERROR(INDEX(Materiales!$A$2:$A$300,MATCH(0,COUNTIF($A$1:A274,Materiales!$A$2:$A$300)+IF(Materiales!$A$2:$A$300="",1,0),0)),"")</f>
      </c>
      <c r="B275" s="8">
        <f t="array" ref="B275">IFERROR(INDEX(Colecciones!$A$2:$A$300,MATCH(0,COUNTIF($B$1:B274,Colecciones!$A$2:$A$300)+IF(Colecciones!$A$2:$A$300="",1,0),0)),"")</f>
      </c>
    </row>
    <row r="276" customFormat="false" ht="12.8" hidden="false" customHeight="false" outlineLevel="0" collapsed="false">
      <c r="A276" s="8">
        <f t="array" ref="A276">IFERROR(INDEX(Materiales!$A$2:$A$300,MATCH(0,COUNTIF($A$1:A275,Materiales!$A$2:$A$300)+IF(Materiales!$A$2:$A$300="",1,0),0)),"")</f>
      </c>
      <c r="B276" s="8">
        <f t="array" ref="B276">IFERROR(INDEX(Colecciones!$A$2:$A$300,MATCH(0,COUNTIF($B$1:B275,Colecciones!$A$2:$A$300)+IF(Colecciones!$A$2:$A$300="",1,0),0)),"")</f>
      </c>
    </row>
    <row r="277" customFormat="false" ht="12.8" hidden="false" customHeight="false" outlineLevel="0" collapsed="false">
      <c r="A277" s="8">
        <f t="array" ref="A277">IFERROR(INDEX(Materiales!$A$2:$A$300,MATCH(0,COUNTIF($A$1:A276,Materiales!$A$2:$A$300)+IF(Materiales!$A$2:$A$300="",1,0),0)),"")</f>
      </c>
      <c r="B277" s="8">
        <f t="array" ref="B277">IFERROR(INDEX(Colecciones!$A$2:$A$300,MATCH(0,COUNTIF($B$1:B276,Colecciones!$A$2:$A$300)+IF(Colecciones!$A$2:$A$300="",1,0),0)),"")</f>
      </c>
    </row>
    <row r="278" customFormat="false" ht="12.8" hidden="false" customHeight="false" outlineLevel="0" collapsed="false">
      <c r="A278" s="8">
        <f t="array" ref="A278">IFERROR(INDEX(Materiales!$A$2:$A$300,MATCH(0,COUNTIF($A$1:A277,Materiales!$A$2:$A$300)+IF(Materiales!$A$2:$A$300="",1,0),0)),"")</f>
      </c>
      <c r="B278" s="8">
        <f t="array" ref="B278">IFERROR(INDEX(Colecciones!$A$2:$A$300,MATCH(0,COUNTIF($B$1:B277,Colecciones!$A$2:$A$300)+IF(Colecciones!$A$2:$A$300="",1,0),0)),"")</f>
      </c>
    </row>
    <row r="279" customFormat="false" ht="12.8" hidden="false" customHeight="false" outlineLevel="0" collapsed="false">
      <c r="A279" s="8">
        <f t="array" ref="A279">IFERROR(INDEX(Materiales!$A$2:$A$300,MATCH(0,COUNTIF($A$1:A278,Materiales!$A$2:$A$300)+IF(Materiales!$A$2:$A$300="",1,0),0)),"")</f>
      </c>
      <c r="B279" s="8">
        <f t="array" ref="B279">IFERROR(INDEX(Colecciones!$A$2:$A$300,MATCH(0,COUNTIF($B$1:B278,Colecciones!$A$2:$A$300)+IF(Colecciones!$A$2:$A$300="",1,0),0)),"")</f>
      </c>
    </row>
    <row r="280" customFormat="false" ht="12.8" hidden="false" customHeight="false" outlineLevel="0" collapsed="false">
      <c r="A280" s="8">
        <f t="array" ref="A280">IFERROR(INDEX(Materiales!$A$2:$A$300,MATCH(0,COUNTIF($A$1:A279,Materiales!$A$2:$A$300)+IF(Materiales!$A$2:$A$300="",1,0),0)),"")</f>
      </c>
      <c r="B280" s="8">
        <f t="array" ref="B280">IFERROR(INDEX(Colecciones!$A$2:$A$300,MATCH(0,COUNTIF($B$1:B279,Colecciones!$A$2:$A$300)+IF(Colecciones!$A$2:$A$300="",1,0),0)),"")</f>
      </c>
    </row>
    <row r="281" customFormat="false" ht="12.8" hidden="false" customHeight="false" outlineLevel="0" collapsed="false">
      <c r="A281" s="8">
        <f t="array" ref="A281">IFERROR(INDEX(Materiales!$A$2:$A$300,MATCH(0,COUNTIF($A$1:A280,Materiales!$A$2:$A$300)+IF(Materiales!$A$2:$A$300="",1,0),0)),"")</f>
      </c>
      <c r="B281" s="8">
        <f t="array" ref="B281">IFERROR(INDEX(Colecciones!$A$2:$A$300,MATCH(0,COUNTIF($B$1:B280,Colecciones!$A$2:$A$300)+IF(Colecciones!$A$2:$A$300="",1,0),0)),"")</f>
      </c>
    </row>
    <row r="282" customFormat="false" ht="12.8" hidden="false" customHeight="false" outlineLevel="0" collapsed="false">
      <c r="A282" s="8">
        <f t="array" ref="A282">IFERROR(INDEX(Materiales!$A$2:$A$300,MATCH(0,COUNTIF($A$1:A281,Materiales!$A$2:$A$300)+IF(Materiales!$A$2:$A$300="",1,0),0)),"")</f>
      </c>
      <c r="B282" s="8">
        <f t="array" ref="B282">IFERROR(INDEX(Colecciones!$A$2:$A$300,MATCH(0,COUNTIF($B$1:B281,Colecciones!$A$2:$A$300)+IF(Colecciones!$A$2:$A$300="",1,0),0)),"")</f>
      </c>
    </row>
    <row r="283" customFormat="false" ht="12.8" hidden="false" customHeight="false" outlineLevel="0" collapsed="false">
      <c r="A283" s="8">
        <f t="array" ref="A283">IFERROR(INDEX(Materiales!$A$2:$A$300,MATCH(0,COUNTIF($A$1:A282,Materiales!$A$2:$A$300)+IF(Materiales!$A$2:$A$300="",1,0),0)),"")</f>
      </c>
      <c r="B283" s="8">
        <f t="array" ref="B283">IFERROR(INDEX(Colecciones!$A$2:$A$300,MATCH(0,COUNTIF($B$1:B282,Colecciones!$A$2:$A$300)+IF(Colecciones!$A$2:$A$300="",1,0),0)),"")</f>
      </c>
    </row>
    <row r="284" customFormat="false" ht="12.8" hidden="false" customHeight="false" outlineLevel="0" collapsed="false">
      <c r="A284" s="8">
        <f t="array" ref="A284">IFERROR(INDEX(Materiales!$A$2:$A$300,MATCH(0,COUNTIF($A$1:A283,Materiales!$A$2:$A$300)+IF(Materiales!$A$2:$A$300="",1,0),0)),"")</f>
      </c>
      <c r="B284" s="8">
        <f t="array" ref="B284">IFERROR(INDEX(Colecciones!$A$2:$A$300,MATCH(0,COUNTIF($B$1:B283,Colecciones!$A$2:$A$300)+IF(Colecciones!$A$2:$A$300="",1,0),0)),"")</f>
      </c>
    </row>
    <row r="285" customFormat="false" ht="12.8" hidden="false" customHeight="false" outlineLevel="0" collapsed="false">
      <c r="A285" s="8">
        <f t="array" ref="A285">IFERROR(INDEX(Materiales!$A$2:$A$300,MATCH(0,COUNTIF($A$1:A284,Materiales!$A$2:$A$300)+IF(Materiales!$A$2:$A$300="",1,0),0)),"")</f>
      </c>
      <c r="B285" s="8">
        <f t="array" ref="B285">IFERROR(INDEX(Colecciones!$A$2:$A$300,MATCH(0,COUNTIF($B$1:B284,Colecciones!$A$2:$A$300)+IF(Colecciones!$A$2:$A$300="",1,0),0)),"")</f>
      </c>
    </row>
    <row r="286" customFormat="false" ht="12.8" hidden="false" customHeight="false" outlineLevel="0" collapsed="false">
      <c r="A286" s="8">
        <f t="array" ref="A286">IFERROR(INDEX(Materiales!$A$2:$A$300,MATCH(0,COUNTIF($A$1:A285,Materiales!$A$2:$A$300)+IF(Materiales!$A$2:$A$300="",1,0),0)),"")</f>
      </c>
      <c r="B286" s="8">
        <f t="array" ref="B286">IFERROR(INDEX(Colecciones!$A$2:$A$300,MATCH(0,COUNTIF($B$1:B285,Colecciones!$A$2:$A$300)+IF(Colecciones!$A$2:$A$300="",1,0),0)),"")</f>
      </c>
    </row>
    <row r="287" customFormat="false" ht="12.8" hidden="false" customHeight="false" outlineLevel="0" collapsed="false">
      <c r="A287" s="8">
        <f t="array" ref="A287">IFERROR(INDEX(Materiales!$A$2:$A$300,MATCH(0,COUNTIF($A$1:A286,Materiales!$A$2:$A$300)+IF(Materiales!$A$2:$A$300="",1,0),0)),"")</f>
      </c>
      <c r="B287" s="8">
        <f t="array" ref="B287">IFERROR(INDEX(Colecciones!$A$2:$A$300,MATCH(0,COUNTIF($B$1:B286,Colecciones!$A$2:$A$300)+IF(Colecciones!$A$2:$A$300="",1,0),0)),"")</f>
      </c>
    </row>
    <row r="288" customFormat="false" ht="12.8" hidden="false" customHeight="false" outlineLevel="0" collapsed="false">
      <c r="A288" s="8">
        <f t="array" ref="A288">IFERROR(INDEX(Materiales!$A$2:$A$300,MATCH(0,COUNTIF($A$1:A287,Materiales!$A$2:$A$300)+IF(Materiales!$A$2:$A$300="",1,0),0)),"")</f>
      </c>
      <c r="B288" s="8">
        <f t="array" ref="B288">IFERROR(INDEX(Colecciones!$A$2:$A$300,MATCH(0,COUNTIF($B$1:B287,Colecciones!$A$2:$A$300)+IF(Colecciones!$A$2:$A$300="",1,0),0)),"")</f>
      </c>
    </row>
    <row r="289" customFormat="false" ht="12.8" hidden="false" customHeight="false" outlineLevel="0" collapsed="false">
      <c r="A289" s="8">
        <f t="array" ref="A289">IFERROR(INDEX(Materiales!$A$2:$A$300,MATCH(0,COUNTIF($A$1:A288,Materiales!$A$2:$A$300)+IF(Materiales!$A$2:$A$300="",1,0),0)),"")</f>
      </c>
      <c r="B289" s="8">
        <f t="array" ref="B289">IFERROR(INDEX(Colecciones!$A$2:$A$300,MATCH(0,COUNTIF($B$1:B288,Colecciones!$A$2:$A$300)+IF(Colecciones!$A$2:$A$300="",1,0),0)),"")</f>
      </c>
    </row>
    <row r="290" customFormat="false" ht="12.8" hidden="false" customHeight="false" outlineLevel="0" collapsed="false">
      <c r="A290" s="8">
        <f t="array" ref="A290">IFERROR(INDEX(Materiales!$A$2:$A$300,MATCH(0,COUNTIF($A$1:A289,Materiales!$A$2:$A$300)+IF(Materiales!$A$2:$A$300="",1,0),0)),"")</f>
      </c>
      <c r="B290" s="8">
        <f t="array" ref="B290">IFERROR(INDEX(Colecciones!$A$2:$A$300,MATCH(0,COUNTIF($B$1:B289,Colecciones!$A$2:$A$300)+IF(Colecciones!$A$2:$A$300="",1,0),0)),"")</f>
      </c>
    </row>
    <row r="291" customFormat="false" ht="12.8" hidden="false" customHeight="false" outlineLevel="0" collapsed="false">
      <c r="A291" s="8">
        <f t="array" ref="A291">IFERROR(INDEX(Materiales!$A$2:$A$300,MATCH(0,COUNTIF($A$1:A290,Materiales!$A$2:$A$300)+IF(Materiales!$A$2:$A$300="",1,0),0)),"")</f>
      </c>
      <c r="B291" s="8">
        <f t="array" ref="B291">IFERROR(INDEX(Colecciones!$A$2:$A$300,MATCH(0,COUNTIF($B$1:B290,Colecciones!$A$2:$A$300)+IF(Colecciones!$A$2:$A$300="",1,0),0)),"")</f>
      </c>
    </row>
    <row r="292" customFormat="false" ht="12.8" hidden="false" customHeight="false" outlineLevel="0" collapsed="false">
      <c r="A292" s="8">
        <f t="array" ref="A292">IFERROR(INDEX(Materiales!$A$2:$A$300,MATCH(0,COUNTIF($A$1:A291,Materiales!$A$2:$A$300)+IF(Materiales!$A$2:$A$300="",1,0),0)),"")</f>
      </c>
      <c r="B292" s="8">
        <f t="array" ref="B292">IFERROR(INDEX(Colecciones!$A$2:$A$300,MATCH(0,COUNTIF($B$1:B291,Colecciones!$A$2:$A$300)+IF(Colecciones!$A$2:$A$300="",1,0),0)),"")</f>
      </c>
    </row>
    <row r="293" customFormat="false" ht="12.8" hidden="false" customHeight="false" outlineLevel="0" collapsed="false">
      <c r="A293" s="8">
        <f t="array" ref="A293">IFERROR(INDEX(Materiales!$A$2:$A$300,MATCH(0,COUNTIF($A$1:A292,Materiales!$A$2:$A$300)+IF(Materiales!$A$2:$A$300="",1,0),0)),"")</f>
      </c>
      <c r="B293" s="8">
        <f t="array" ref="B293">IFERROR(INDEX(Colecciones!$A$2:$A$300,MATCH(0,COUNTIF($B$1:B292,Colecciones!$A$2:$A$300)+IF(Colecciones!$A$2:$A$300="",1,0),0)),"")</f>
      </c>
    </row>
    <row r="294" customFormat="false" ht="12.8" hidden="false" customHeight="false" outlineLevel="0" collapsed="false">
      <c r="A294" s="8">
        <f t="array" ref="A294">IFERROR(INDEX(Materiales!$A$2:$A$300,MATCH(0,COUNTIF($A$1:A293,Materiales!$A$2:$A$300)+IF(Materiales!$A$2:$A$300="",1,0),0)),"")</f>
      </c>
      <c r="B294" s="8">
        <f t="array" ref="B294">IFERROR(INDEX(Colecciones!$A$2:$A$300,MATCH(0,COUNTIF($B$1:B293,Colecciones!$A$2:$A$300)+IF(Colecciones!$A$2:$A$300="",1,0),0)),"")</f>
      </c>
    </row>
    <row r="295" customFormat="false" ht="12.8" hidden="false" customHeight="false" outlineLevel="0" collapsed="false">
      <c r="A295" s="8">
        <f t="array" ref="A295">IFERROR(INDEX(Materiales!$A$2:$A$300,MATCH(0,COUNTIF($A$1:A294,Materiales!$A$2:$A$300)+IF(Materiales!$A$2:$A$300="",1,0),0)),"")</f>
      </c>
      <c r="B295" s="8">
        <f t="array" ref="B295">IFERROR(INDEX(Colecciones!$A$2:$A$300,MATCH(0,COUNTIF($B$1:B294,Colecciones!$A$2:$A$300)+IF(Colecciones!$A$2:$A$300="",1,0),0)),"")</f>
      </c>
    </row>
    <row r="296" customFormat="false" ht="12.8" hidden="false" customHeight="false" outlineLevel="0" collapsed="false">
      <c r="A296" s="8">
        <f t="array" ref="A296">IFERROR(INDEX(Materiales!$A$2:$A$300,MATCH(0,COUNTIF($A$1:A295,Materiales!$A$2:$A$300)+IF(Materiales!$A$2:$A$300="",1,0),0)),"")</f>
      </c>
      <c r="B296" s="8">
        <f t="array" ref="B296">IFERROR(INDEX(Colecciones!$A$2:$A$300,MATCH(0,COUNTIF($B$1:B295,Colecciones!$A$2:$A$300)+IF(Colecciones!$A$2:$A$300="",1,0),0)),"")</f>
      </c>
    </row>
    <row r="297" customFormat="false" ht="12.8" hidden="false" customHeight="false" outlineLevel="0" collapsed="false">
      <c r="A297" s="8">
        <f t="array" ref="A297">IFERROR(INDEX(Materiales!$A$2:$A$300,MATCH(0,COUNTIF($A$1:A296,Materiales!$A$2:$A$300)+IF(Materiales!$A$2:$A$300="",1,0),0)),"")</f>
      </c>
      <c r="B297" s="8">
        <f t="array" ref="B297">IFERROR(INDEX(Colecciones!$A$2:$A$300,MATCH(0,COUNTIF($B$1:B296,Colecciones!$A$2:$A$300)+IF(Colecciones!$A$2:$A$300="",1,0),0)),"")</f>
      </c>
    </row>
    <row r="298" customFormat="false" ht="12.8" hidden="false" customHeight="false" outlineLevel="0" collapsed="false">
      <c r="A298" s="8">
        <f t="array" ref="A298">IFERROR(INDEX(Materiales!$A$2:$A$300,MATCH(0,COUNTIF($A$1:A297,Materiales!$A$2:$A$300)+IF(Materiales!$A$2:$A$300="",1,0),0)),"")</f>
      </c>
      <c r="B298" s="8">
        <f t="array" ref="B298">IFERROR(INDEX(Colecciones!$A$2:$A$300,MATCH(0,COUNTIF($B$1:B297,Colecciones!$A$2:$A$300)+IF(Colecciones!$A$2:$A$300="",1,0),0)),"")</f>
      </c>
    </row>
    <row r="299" customFormat="false" ht="12.8" hidden="false" customHeight="false" outlineLevel="0" collapsed="false">
      <c r="A299" s="8">
        <f t="array" ref="A299">IFERROR(INDEX(Materiales!$A$2:$A$300,MATCH(0,COUNTIF($A$1:A298,Materiales!$A$2:$A$300)+IF(Materiales!$A$2:$A$300="",1,0),0)),"")</f>
      </c>
      <c r="B299" s="8">
        <f t="array" ref="B299">IFERROR(INDEX(Colecciones!$A$2:$A$300,MATCH(0,COUNTIF($B$1:B298,Colecciones!$A$2:$A$300)+IF(Colecciones!$A$2:$A$300="",1,0),0)),"")</f>
      </c>
    </row>
    <row r="300" customFormat="false" ht="12.8" hidden="false" customHeight="false" outlineLevel="0" collapsed="false">
      <c r="A300" s="8">
        <f t="array" ref="A300">IFERROR(INDEX(Materiales!$A$2:$A$300,MATCH(0,COUNTIF($A$1:A299,Materiales!$A$2:$A$300)+IF(Materiales!$A$2:$A$300="",1,0),0)),"")</f>
      </c>
      <c r="B300" s="8">
        <f t="array" ref="B300">IFERROR(INDEX(Colecciones!$A$2:$A$300,MATCH(0,COUNTIF($B$1:B299,Colecciones!$A$2:$A$300)+IF(Colecciones!$A$2:$A$300="",1,0),0)),"")</f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