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B572A51B-28FA-4E45-8634-72B9811A3335}" xr6:coauthVersionLast="47" xr6:coauthVersionMax="47" xr10:uidLastSave="{00000000-0000-0000-0000-000000000000}"/>
  <bookViews>
    <workbookView xWindow="-120" yWindow="-120" windowWidth="29040" windowHeight="15840" firstSheet="1" activeTab="2" xr2:uid="{6A97EDEE-8A0A-4F87-B287-83340F6E09E8}"/>
  </bookViews>
  <sheets>
    <sheet name="Instrucciones" sheetId="3" r:id="rId1"/>
    <sheet name="Pliegos A3" sheetId="21" r:id="rId2"/>
    <sheet name="Lista de precios" sheetId="20" r:id="rId3"/>
    <sheet name="Productos reales" sheetId="5" r:id="rId4"/>
    <sheet name="Presupuestos (crudo)" sheetId="6" r:id="rId5"/>
    <sheet name="Lista maestra" sheetId="4" r:id="rId6"/>
    <sheet name="Productos" sheetId="1" r:id="rId7"/>
    <sheet name="Colecciones" sheetId="2" r:id="rId8"/>
    <sheet name="Escalas por unidad" sheetId="22" r:id="rId9"/>
    <sheet name="Escalas" sheetId="23" r:id="rId10"/>
    <sheet name="Datos del negocio" sheetId="24" r:id="rId11"/>
  </sheets>
  <definedNames>
    <definedName name="_xlnm._FilterDatabase" localSheetId="2" hidden="1">'Lista de precios'!$A$16:$P$187</definedName>
    <definedName name="_xlnm._FilterDatabase" localSheetId="5" hidden="1">'Lista maestra'!$A$1:$G$128</definedName>
    <definedName name="_xlnm._FilterDatabase" localSheetId="4" hidden="1">'Presupuestos (crudo)'!$A$1:$J$10</definedName>
    <definedName name="_xlnm._FilterDatabase" localSheetId="6" hidden="1">Productos!$A$1:$H$200</definedName>
    <definedName name="Colecciones">Colecciones!$A$2:$A$30</definedName>
    <definedName name="ESC_DESDE">'Pliegos A3'!$B$6:$B$24</definedName>
    <definedName name="ESC_HASTA">'Pliegos A3'!$C$6:$C$24</definedName>
    <definedName name="ESC_MAT">'Pliegos A3'!$A$6:$A$24</definedName>
    <definedName name="ESC_PRECIO">'Pliegos A3'!$D$6:$D$24</definedName>
    <definedName name="ESCU_DESDE">'Escalas por unidad'!$B$6:$B$19</definedName>
    <definedName name="ESCU_HASTA">'Escalas por unidad'!$C$6:$C$19</definedName>
    <definedName name="ESCU_ITEMS">'Escalas por unidad'!$G$6:$G$8</definedName>
    <definedName name="ESCU_PRECIO">'Escalas por unidad'!$D$6:$D$19</definedName>
    <definedName name="ESCU_PROD">'Escalas por unidad'!$A$6:$A$19</definedName>
    <definedName name="IMP_ALTO">'Pliegos A3'!$C$27</definedName>
    <definedName name="IMP_ANCHO">'Pliegos A3'!$B$27</definedName>
    <definedName name="MINIMO">'Lista de precios'!$B$12</definedName>
    <definedName name="REDONDEO">'Lista de precios'!$B$13</definedName>
    <definedName name="SEPARACION">'Pliegos A3'!$B$29</definedName>
    <definedName name="TARIFAS">'Lista de precios'!$A$6:$C$10</definedName>
    <definedName name="TRQ_ALTO">'Pliegos A3'!$C$28</definedName>
    <definedName name="TRQ_ANCHO">'Pliegos A3'!$B$28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22" l="1"/>
  <c r="D23" i="22"/>
  <c r="C23" i="22"/>
  <c r="C56" i="1"/>
  <c r="C55" i="1"/>
  <c r="C51" i="1"/>
  <c r="C50" i="1"/>
  <c r="O55" i="20"/>
  <c r="N55" i="20"/>
  <c r="P55" i="20" s="1"/>
  <c r="D55" i="20" s="1"/>
  <c r="M55" i="20"/>
  <c r="L55" i="20"/>
  <c r="K55" i="20"/>
  <c r="P54" i="20"/>
  <c r="D54" i="20" s="1"/>
  <c r="O54" i="20"/>
  <c r="N54" i="20"/>
  <c r="M54" i="20"/>
  <c r="L54" i="20"/>
  <c r="K54" i="20"/>
  <c r="O53" i="20"/>
  <c r="N53" i="20"/>
  <c r="P53" i="20" s="1"/>
  <c r="D53" i="20" s="1"/>
  <c r="M53" i="20"/>
  <c r="L53" i="20"/>
  <c r="K53" i="20"/>
  <c r="O52" i="20"/>
  <c r="N52" i="20"/>
  <c r="P52" i="20" s="1"/>
  <c r="D52" i="20" s="1"/>
  <c r="M52" i="20"/>
  <c r="L52" i="20"/>
  <c r="K52" i="20"/>
  <c r="O51" i="20"/>
  <c r="N51" i="20"/>
  <c r="P51" i="20" s="1"/>
  <c r="D51" i="20" s="1"/>
  <c r="M51" i="20"/>
  <c r="L51" i="20"/>
  <c r="K51" i="20"/>
  <c r="O50" i="20"/>
  <c r="N50" i="20"/>
  <c r="P50" i="20" s="1"/>
  <c r="D50" i="20" s="1"/>
  <c r="M50" i="20"/>
  <c r="L50" i="20"/>
  <c r="K50" i="20"/>
  <c r="P49" i="20"/>
  <c r="D49" i="20" s="1"/>
  <c r="O49" i="20"/>
  <c r="N49" i="20"/>
  <c r="M49" i="20"/>
  <c r="L49" i="20"/>
  <c r="K49" i="20"/>
  <c r="O48" i="20"/>
  <c r="N48" i="20"/>
  <c r="P48" i="20" s="1"/>
  <c r="D48" i="20" s="1"/>
  <c r="M48" i="20"/>
  <c r="L48" i="20"/>
  <c r="K48" i="20"/>
  <c r="O47" i="20"/>
  <c r="N47" i="20"/>
  <c r="P47" i="20" s="1"/>
  <c r="D47" i="20" s="1"/>
  <c r="M47" i="20"/>
  <c r="L47" i="20"/>
  <c r="K47" i="20"/>
  <c r="P46" i="20"/>
  <c r="D46" i="20" s="1"/>
  <c r="O46" i="20"/>
  <c r="N46" i="20"/>
  <c r="M46" i="20"/>
  <c r="L46" i="20"/>
  <c r="K46" i="20"/>
  <c r="O45" i="20"/>
  <c r="P45" i="20" s="1"/>
  <c r="D45" i="20" s="1"/>
  <c r="N45" i="20"/>
  <c r="M45" i="20"/>
  <c r="L45" i="20"/>
  <c r="K45" i="20"/>
  <c r="O44" i="20"/>
  <c r="N44" i="20"/>
  <c r="P44" i="20" s="1"/>
  <c r="D44" i="20" s="1"/>
  <c r="M44" i="20"/>
  <c r="L44" i="20"/>
  <c r="K44" i="20"/>
  <c r="O43" i="20"/>
  <c r="N43" i="20"/>
  <c r="P43" i="20" s="1"/>
  <c r="D43" i="20" s="1"/>
  <c r="M43" i="20"/>
  <c r="L43" i="20"/>
  <c r="K43" i="20"/>
  <c r="P42" i="20"/>
  <c r="D42" i="20" s="1"/>
  <c r="O42" i="20"/>
  <c r="N42" i="20"/>
  <c r="M42" i="20"/>
  <c r="L42" i="20"/>
  <c r="K42" i="20"/>
  <c r="O41" i="20"/>
  <c r="N41" i="20"/>
  <c r="P41" i="20" s="1"/>
  <c r="D41" i="20" s="1"/>
  <c r="M41" i="20"/>
  <c r="L41" i="20"/>
  <c r="K41" i="20"/>
  <c r="O40" i="20"/>
  <c r="N40" i="20"/>
  <c r="P40" i="20" s="1"/>
  <c r="D40" i="20" s="1"/>
  <c r="M40" i="20"/>
  <c r="L40" i="20"/>
  <c r="K40" i="20"/>
  <c r="O39" i="20"/>
  <c r="N39" i="20"/>
  <c r="P39" i="20" s="1"/>
  <c r="D39" i="20" s="1"/>
  <c r="M39" i="20"/>
  <c r="L39" i="20"/>
  <c r="K39" i="20"/>
  <c r="P38" i="20"/>
  <c r="D38" i="20" s="1"/>
  <c r="O38" i="20"/>
  <c r="N38" i="20"/>
  <c r="M38" i="20"/>
  <c r="L38" i="20"/>
  <c r="K38" i="20"/>
  <c r="O37" i="20"/>
  <c r="N37" i="20"/>
  <c r="P37" i="20" s="1"/>
  <c r="D37" i="20" s="1"/>
  <c r="M37" i="20"/>
  <c r="L37" i="20"/>
  <c r="K37" i="20"/>
  <c r="P36" i="20"/>
  <c r="O36" i="20"/>
  <c r="N36" i="20"/>
  <c r="M36" i="20"/>
  <c r="L36" i="20"/>
  <c r="K36" i="20"/>
  <c r="D36" i="20"/>
  <c r="P35" i="20"/>
  <c r="O35" i="20"/>
  <c r="N35" i="20"/>
  <c r="M35" i="20"/>
  <c r="L35" i="20"/>
  <c r="K35" i="20"/>
  <c r="D35" i="20"/>
  <c r="P34" i="20"/>
  <c r="O34" i="20"/>
  <c r="N34" i="20"/>
  <c r="M34" i="20"/>
  <c r="L34" i="20"/>
  <c r="K34" i="20"/>
  <c r="D34" i="20"/>
  <c r="P33" i="20"/>
  <c r="D33" i="20" s="1"/>
  <c r="O33" i="20"/>
  <c r="N33" i="20"/>
  <c r="M33" i="20"/>
  <c r="L33" i="20"/>
  <c r="K33" i="20"/>
  <c r="P32" i="20"/>
  <c r="O32" i="20"/>
  <c r="N32" i="20"/>
  <c r="M32" i="20"/>
  <c r="L32" i="20"/>
  <c r="K32" i="20"/>
  <c r="D32" i="20"/>
  <c r="P31" i="20"/>
  <c r="O31" i="20"/>
  <c r="N31" i="20"/>
  <c r="M31" i="20"/>
  <c r="L31" i="20"/>
  <c r="K31" i="20"/>
  <c r="D31" i="20"/>
  <c r="P30" i="20"/>
  <c r="D30" i="20" s="1"/>
  <c r="O30" i="20"/>
  <c r="N30" i="20"/>
  <c r="M30" i="20"/>
  <c r="L30" i="20"/>
  <c r="K30" i="20"/>
  <c r="P29" i="20"/>
  <c r="D29" i="20" s="1"/>
  <c r="O29" i="20"/>
  <c r="N29" i="20"/>
  <c r="M29" i="20"/>
  <c r="L29" i="20"/>
  <c r="K29" i="20"/>
  <c r="P28" i="20"/>
  <c r="D28" i="20" s="1"/>
  <c r="O28" i="20"/>
  <c r="N28" i="20"/>
  <c r="M28" i="20"/>
  <c r="L28" i="20"/>
  <c r="K28" i="20"/>
  <c r="P27" i="20"/>
  <c r="D27" i="20" s="1"/>
  <c r="O27" i="20"/>
  <c r="N27" i="20"/>
  <c r="M27" i="20"/>
  <c r="L27" i="20"/>
  <c r="K27" i="20"/>
  <c r="P26" i="20"/>
  <c r="D26" i="20" s="1"/>
  <c r="O26" i="20"/>
  <c r="N26" i="20"/>
  <c r="M26" i="20"/>
  <c r="L26" i="20"/>
  <c r="K26" i="20"/>
  <c r="P25" i="20"/>
  <c r="D25" i="20" s="1"/>
  <c r="O25" i="20"/>
  <c r="N25" i="20"/>
  <c r="M25" i="20"/>
  <c r="L25" i="20"/>
  <c r="K25" i="20"/>
  <c r="P24" i="20"/>
  <c r="O24" i="20"/>
  <c r="N24" i="20"/>
  <c r="M24" i="20"/>
  <c r="L24" i="20"/>
  <c r="K24" i="20"/>
  <c r="D24" i="20"/>
  <c r="P23" i="20"/>
  <c r="O23" i="20"/>
  <c r="N23" i="20"/>
  <c r="M23" i="20"/>
  <c r="L23" i="20"/>
  <c r="K23" i="20"/>
  <c r="D23" i="20"/>
  <c r="P22" i="20"/>
  <c r="D22" i="20" s="1"/>
  <c r="O22" i="20"/>
  <c r="N22" i="20"/>
  <c r="M22" i="20"/>
  <c r="L22" i="20"/>
  <c r="K22" i="20"/>
  <c r="P21" i="20"/>
  <c r="O21" i="20"/>
  <c r="N21" i="20"/>
  <c r="M21" i="20"/>
  <c r="L21" i="20"/>
  <c r="K21" i="20"/>
  <c r="D21" i="20"/>
  <c r="P20" i="20"/>
  <c r="O20" i="20"/>
  <c r="N20" i="20"/>
  <c r="M20" i="20"/>
  <c r="L20" i="20"/>
  <c r="K20" i="20"/>
  <c r="D20" i="20"/>
  <c r="P19" i="20"/>
  <c r="O19" i="20"/>
  <c r="N19" i="20"/>
  <c r="M19" i="20"/>
  <c r="L19" i="20"/>
  <c r="K19" i="20"/>
  <c r="D19" i="20"/>
  <c r="P18" i="20"/>
  <c r="D18" i="20" s="1"/>
  <c r="O18" i="20"/>
  <c r="N18" i="20"/>
  <c r="M18" i="20"/>
  <c r="L18" i="20"/>
  <c r="K18" i="20"/>
  <c r="P17" i="20"/>
  <c r="D17" i="20" s="1"/>
  <c r="O17" i="20"/>
  <c r="N17" i="20"/>
  <c r="M17" i="20"/>
  <c r="L17" i="20"/>
  <c r="K17" i="20"/>
  <c r="E39" i="21"/>
  <c r="D39" i="21"/>
  <c r="E38" i="21"/>
  <c r="D38" i="21"/>
  <c r="E37" i="21"/>
  <c r="D37" i="21"/>
  <c r="E36" i="21"/>
  <c r="D36" i="21"/>
  <c r="E35" i="21"/>
  <c r="D35" i="21"/>
  <c r="E34" i="21"/>
  <c r="D34" i="21"/>
  <c r="E33" i="21"/>
  <c r="D33" i="21"/>
  <c r="B28" i="3"/>
</calcChain>
</file>

<file path=xl/sharedStrings.xml><?xml version="1.0" encoding="utf-8"?>
<sst xmlns="http://schemas.openxmlformats.org/spreadsheetml/2006/main" count="4253" uniqueCount="1795">
  <si>
    <t>Colección</t>
  </si>
  <si>
    <t>Nombre del producto</t>
  </si>
  <si>
    <t>Precio (ARS, IVA incl.)</t>
  </si>
  <si>
    <t>Descripción</t>
  </si>
  <si>
    <t>Código / SKU</t>
  </si>
  <si>
    <t>Fotos (nombre de archivo)</t>
  </si>
  <si>
    <t>Link (opcional)</t>
  </si>
  <si>
    <t>Notas internas</t>
  </si>
  <si>
    <t>Papelería comercial</t>
  </si>
  <si>
    <t>Colecciones (propuesta: editá, borrá o agregá)</t>
  </si>
  <si>
    <t>Impresión digital</t>
  </si>
  <si>
    <t>Encuadernación y terminaciones</t>
  </si>
  <si>
    <t>Sellos</t>
  </si>
  <si>
    <t>CATÁLOGO DE WHATSAPP - TERMINAL GRÁFICA</t>
  </si>
  <si>
    <t>DATOS DEL NEGOCIO</t>
  </si>
  <si>
    <t>Rubro</t>
  </si>
  <si>
    <t>Imprenta / gráfica digital / offset</t>
  </si>
  <si>
    <t>Moneda</t>
  </si>
  <si>
    <t>Pesos argentinos (ARS)</t>
  </si>
  <si>
    <t>Precios</t>
  </si>
  <si>
    <t>IVA incluido</t>
  </si>
  <si>
    <t>Entrega</t>
  </si>
  <si>
    <t>Envío a domicilio + retiro en local</t>
  </si>
  <si>
    <t>Pagos</t>
  </si>
  <si>
    <t>Transferencia, QR, Mercado Pago</t>
  </si>
  <si>
    <t>Logo y colores</t>
  </si>
  <si>
    <t>PENDIENTE</t>
  </si>
  <si>
    <t>CÓMO CARGAR LA HOJA "PRODUCTOS"</t>
  </si>
  <si>
    <t>Elegí de la lista desplegable. La lista se edita en la hoja "Colecciones".</t>
  </si>
  <si>
    <t>OBLIGATORIO. Corto y buscable. Incluí medida y cantidad: "Tarjetas 9x5 - 1000u".</t>
  </si>
  <si>
    <t>Precio</t>
  </si>
  <si>
    <t>Opcional pero recomendado. Solo el número, sin $ ni puntos. Si varía según la cantidad, dejalo vacío y aclaralo en la descripción.</t>
  </si>
  <si>
    <t>Opcional. Medidas, material, gramaje, plazo de entrega, mínimo de compra.</t>
  </si>
  <si>
    <t>Opcional. Solo si ya manejás códigos internos.</t>
  </si>
  <si>
    <t>Fotos</t>
  </si>
  <si>
    <t>OBLIGATORIO al menos 1. Escribí el nombre del archivo. Varias fotos separadas por punto y coma.</t>
  </si>
  <si>
    <t>Link</t>
  </si>
  <si>
    <t>Opcional. Web o formulario de pedido.</t>
  </si>
  <si>
    <t>Para vos. NO se sube a WhatsApp.</t>
  </si>
  <si>
    <t>LÍMITES DE WHATSAPP</t>
  </si>
  <si>
    <t>Máximo de ítems</t>
  </si>
  <si>
    <t>500 por catálogo</t>
  </si>
  <si>
    <t>Fotos por ítem</t>
  </si>
  <si>
    <t>Hasta 10</t>
  </si>
  <si>
    <t>Formato de foto</t>
  </si>
  <si>
    <t>Cuadrada (1:1), mínimo 500x500 px, ideal 800x800 o más. JPG o PNG.</t>
  </si>
  <si>
    <t>Revisión</t>
  </si>
  <si>
    <t>Meta revisa cada producto antes de publicarlo. Puede demorar y puede rechazar ítems.</t>
  </si>
  <si>
    <t>CONTROL</t>
  </si>
  <si>
    <t>Productos cargados</t>
  </si>
  <si>
    <t>Límite</t>
  </si>
  <si>
    <t>Sugerencia: si tenés más de ~30 ítems el catálogo se vuelve incómodo de scrollear en el celular. Conviene un ítem por servicio, con las variantes explicadas en la descripción.</t>
  </si>
  <si>
    <t>Producto</t>
  </si>
  <si>
    <t>Descripción sugerida</t>
  </si>
  <si>
    <t>Unidad de venta</t>
  </si>
  <si>
    <t>¿Lo ofrezco?</t>
  </si>
  <si>
    <t>Precio (ARS)</t>
  </si>
  <si>
    <t>Notas</t>
  </si>
  <si>
    <t>Tarjetas personales 9x5 cm</t>
  </si>
  <si>
    <t>1000 u.</t>
  </si>
  <si>
    <t>Tarjetas premium con UV sectorizado</t>
  </si>
  <si>
    <t>Ilustración 300 g con laminado mate y barniz UV brillante sobre logo o texto.</t>
  </si>
  <si>
    <t>Hojas membretadas A4</t>
  </si>
  <si>
    <t>500 u.</t>
  </si>
  <si>
    <t>Sobres impresos</t>
  </si>
  <si>
    <t>Talonarios de factura o remito</t>
  </si>
  <si>
    <t>Papel autocopiativo, original y duplicado, numerado correlativo.</t>
  </si>
  <si>
    <t>Notas de pedido y comandas</t>
  </si>
  <si>
    <t>Talonario numerado, tamaño a elección, original y copia.</t>
  </si>
  <si>
    <t>Recetarios</t>
  </si>
  <si>
    <t>Carpetas institucionales</t>
  </si>
  <si>
    <t>Cartulina 300 g troquelada, con solapa y ranura porta tarjeta.</t>
  </si>
  <si>
    <t>250 u.</t>
  </si>
  <si>
    <t>Anotadores personalizados</t>
  </si>
  <si>
    <t>100 u.</t>
  </si>
  <si>
    <t>Credenciales y tarjetas plásticas</t>
  </si>
  <si>
    <t>Tarjeta PVC full color, opción numerada o con código QR.</t>
  </si>
  <si>
    <t>Impresión color A4</t>
  </si>
  <si>
    <t>Papel obra 80 g. Precio por hoja impresa.</t>
  </si>
  <si>
    <t>Por hoja</t>
  </si>
  <si>
    <t>Impresión color A3</t>
  </si>
  <si>
    <t>Impresión blanco y negro A4</t>
  </si>
  <si>
    <t>Papel obra 80 g. Descuento por volumen.</t>
  </si>
  <si>
    <t>Impresión blanco y negro A3</t>
  </si>
  <si>
    <t>Papel obra 80 g.</t>
  </si>
  <si>
    <t>Impresión en papel ilustración</t>
  </si>
  <si>
    <t>De 150 a 300 g, A4 o A3, full color.</t>
  </si>
  <si>
    <t>Impresión en opalina</t>
  </si>
  <si>
    <t>De 180 a 250 g. Ideal para diplomas y certificados.</t>
  </si>
  <si>
    <t>Apuntes y material de estudio</t>
  </si>
  <si>
    <t>Impresión doble faz con anillado incluido.</t>
  </si>
  <si>
    <t>Por trabajo</t>
  </si>
  <si>
    <t>Impresión de planos</t>
  </si>
  <si>
    <t>Hasta 90 cm de ancho en papel obra. Blanco y negro o color.</t>
  </si>
  <si>
    <t>Por m2</t>
  </si>
  <si>
    <t>Fotocopias</t>
  </si>
  <si>
    <t>Blanco y negro o color, A4 y oficio.</t>
  </si>
  <si>
    <t>Por copia</t>
  </si>
  <si>
    <t>Escaneo y digitalización</t>
  </si>
  <si>
    <t>Escaneo en alta resolución, entrega en PDF o JPG.</t>
  </si>
  <si>
    <t>Impresión de fotos</t>
  </si>
  <si>
    <t>Papel fotográfico en 10x15, 13x18 y 20x30 cm.</t>
  </si>
  <si>
    <t>Por unidad</t>
  </si>
  <si>
    <t>Folletería y editorial</t>
  </si>
  <si>
    <t>Volantes A5</t>
  </si>
  <si>
    <t>Ilustración 115 g, full color, simple o doble faz.</t>
  </si>
  <si>
    <t>Volantes A6</t>
  </si>
  <si>
    <t>Ilustración 115 g, full color. Ideal reparto en mano.</t>
  </si>
  <si>
    <t>Flyers A4</t>
  </si>
  <si>
    <t>Ilustración 115 o 150 g, full color doble faz.</t>
  </si>
  <si>
    <t>Dípticos</t>
  </si>
  <si>
    <t>A4 plegado a A5, ilustración 150 g, full color.</t>
  </si>
  <si>
    <t>Trípticos</t>
  </si>
  <si>
    <t>A4 plegado en tres cuerpos, ilustración 150 g.</t>
  </si>
  <si>
    <t>Catálogos abrochados</t>
  </si>
  <si>
    <t>De 8 a 32 páginas, abrochado a caballo, tapa e interior a elección.</t>
  </si>
  <si>
    <t>Revistas</t>
  </si>
  <si>
    <t>Interior obra o ilustración, tapa laminada. Presupuesto por cantidad de páginas.</t>
  </si>
  <si>
    <t>Libros con encuadernación fresada</t>
  </si>
  <si>
    <t>Lomo encolado, tapa a color laminada. Desde 40 páginas.</t>
  </si>
  <si>
    <t>Manuales e instructivos</t>
  </si>
  <si>
    <t>Impresión y encuadernación a elección.</t>
  </si>
  <si>
    <t>Posters A3 y A2</t>
  </si>
  <si>
    <t>Ilustración 150 g o papel fotográfico.</t>
  </si>
  <si>
    <t>Afiches</t>
  </si>
  <si>
    <t>Papel ilustración o afiche, tamaños desde A2.</t>
  </si>
  <si>
    <t>Gran formato y cartelería</t>
  </si>
  <si>
    <t>Lona banner impresa</t>
  </si>
  <si>
    <t>Lona 440 g full color, con dobladillo y ojalillos.</t>
  </si>
  <si>
    <t>Lona mesh</t>
  </si>
  <si>
    <t>Lona microperforada para exteriores con viento.</t>
  </si>
  <si>
    <t>Vinilo adhesivo impreso</t>
  </si>
  <si>
    <t>Brillante o mate, con laminado opcional de protección.</t>
  </si>
  <si>
    <t>Vinilo de corte</t>
  </si>
  <si>
    <t>Textos y logos en colores plenos, sin fondo.</t>
  </si>
  <si>
    <t>Vinilo microperforado para vidrieras</t>
  </si>
  <si>
    <t>Permite ver desde adentro hacia afuera.</t>
  </si>
  <si>
    <t>Vinilo esmerilado</t>
  </si>
  <si>
    <t>Efecto arenado para vidrios y divisiones.</t>
  </si>
  <si>
    <t>Banner roll-up 85x200 cm</t>
  </si>
  <si>
    <t>Incluye estructura enrollable y bolso de transporte.</t>
  </si>
  <si>
    <t>Porta banner tipo X 60x160 cm</t>
  </si>
  <si>
    <t>Estructura liviana con lona impresa.</t>
  </si>
  <si>
    <t>Cartel en PVC espumado 3 mm</t>
  </si>
  <si>
    <t>Rígido y liviano, para interior y exterior protegido.</t>
  </si>
  <si>
    <t>Cartel en chapa</t>
  </si>
  <si>
    <t>Con vinilo impreso y laminado, para intemperie.</t>
  </si>
  <si>
    <t>Cartel en acrílico</t>
  </si>
  <si>
    <t>Con vinilo aplicado, separadores incluidos.</t>
  </si>
  <si>
    <t>Pasacalles</t>
  </si>
  <si>
    <t>Lona reforzada con ojalillos y sogas.</t>
  </si>
  <si>
    <t>Backdrop y photocall</t>
  </si>
  <si>
    <t>Estructura tubular con lona impresa a medida.</t>
  </si>
  <si>
    <t>Gigantografías</t>
  </si>
  <si>
    <t>Impresión de gran tamaño en lona o vinilo, por paños.</t>
  </si>
  <si>
    <t>Ploteo vehicular</t>
  </si>
  <si>
    <t>Vinilo impreso o de corte aplicado sobre el vehículo.</t>
  </si>
  <si>
    <t>Adhesivos y etiquetas</t>
  </si>
  <si>
    <t>Stickers troquelados</t>
  </si>
  <si>
    <t>Vinilo o papel ilustración adhesivo, corte con forma libre.</t>
  </si>
  <si>
    <t>Planchas de stickers A4</t>
  </si>
  <si>
    <t>Varios stickers por plancha, con troquel o media corte.</t>
  </si>
  <si>
    <t>Por plancha</t>
  </si>
  <si>
    <t>Etiquetas en rollo</t>
  </si>
  <si>
    <t>Para aplicación manual o etiquetadora automática.</t>
  </si>
  <si>
    <t>Etiquetas para frascos y botellas</t>
  </si>
  <si>
    <t>Vinilo resistente a la humedad y al roce.</t>
  </si>
  <si>
    <t>Etiquetas de garantía void</t>
  </si>
  <si>
    <t>Se destruyen al despegarse. Para sellado de productos.</t>
  </si>
  <si>
    <t>Stickers holográficos</t>
  </si>
  <si>
    <t>Terminación tornasolada, uso decorativo o de seguridad.</t>
  </si>
  <si>
    <t>Etiquetas con código de barras o QR</t>
  </si>
  <si>
    <t>Numeración variable o códigos individuales.</t>
  </si>
  <si>
    <t>Packaging y troquelados</t>
  </si>
  <si>
    <t>Cajas troqueladas personalizadas</t>
  </si>
  <si>
    <t>Desarrollo de troquel, impresión y armado. Cartulina o microcorrugado.</t>
  </si>
  <si>
    <t>Cajas para delivery</t>
  </si>
  <si>
    <t>Microcorrugado impreso, medidas a elección.</t>
  </si>
  <si>
    <t>Cajas para pancho y hamburguesa</t>
  </si>
  <si>
    <t>Cartulina apta contacto con alimentos, impresa full color.</t>
  </si>
  <si>
    <t>Cajas para pizza</t>
  </si>
  <si>
    <t>Microcorrugado, impresión a una o dos tintas.</t>
  </si>
  <si>
    <t>Bolsas de papel impresas</t>
  </si>
  <si>
    <t>Con manija de cinta o cordón, varios tamaños.</t>
  </si>
  <si>
    <t>Fajas y precintos de seguridad</t>
  </si>
  <si>
    <t>Fajas de papel o adhesivas para cierre de packaging.</t>
  </si>
  <si>
    <t>Estuches y blísters</t>
  </si>
  <si>
    <t>Troquel a medida con ventana o solapa.</t>
  </si>
  <si>
    <t>Desarrollo de troquel a medida</t>
  </si>
  <si>
    <t>Diseño estructural y prototipo antes de la producción.</t>
  </si>
  <si>
    <t>Anillado plástico</t>
  </si>
  <si>
    <t>Hasta 300 hojas. Tapa transparente y contratapa incluidas.</t>
  </si>
  <si>
    <t>Anillado metálico wire-o</t>
  </si>
  <si>
    <t>Terminación prolija, permite abrir a 360 grados.</t>
  </si>
  <si>
    <t>Encuadernación abrochada a caballo</t>
  </si>
  <si>
    <t>Para cuadernillos de hasta 64 páginas.</t>
  </si>
  <si>
    <t>Encuadernación fresada</t>
  </si>
  <si>
    <t>Lomo encolado, desde 40 páginas.</t>
  </si>
  <si>
    <t>Laminado mate</t>
  </si>
  <si>
    <t>Protege y da terminación suave al tacto.</t>
  </si>
  <si>
    <t>Laminado brillante</t>
  </si>
  <si>
    <t>Realza los colores y protege la impresión.</t>
  </si>
  <si>
    <t>UV sectorizado</t>
  </si>
  <si>
    <t>Barniz brillante solo sobre las zonas elegidas.</t>
  </si>
  <si>
    <t>Plastificado de documentos</t>
  </si>
  <si>
    <t>A4, oficio o carnet. Protección rígida.</t>
  </si>
  <si>
    <t>Troquelado y corte a medida</t>
  </si>
  <si>
    <t>Corte con forma sobre material impreso.</t>
  </si>
  <si>
    <t>Plegado</t>
  </si>
  <si>
    <t>Simple, doble o en cruz, según el trabajo.</t>
  </si>
  <si>
    <t>Numerado correlativo</t>
  </si>
  <si>
    <t>Para talonarios, entradas y rifas.</t>
  </si>
  <si>
    <t>Colocación de ojalillos</t>
  </si>
  <si>
    <t>Para lonas, carteles y colgantes.</t>
  </si>
  <si>
    <t>Perforado y microperforado</t>
  </si>
  <si>
    <t>Línea de corte para talones desprendibles.</t>
  </si>
  <si>
    <t>Hot stamping</t>
  </si>
  <si>
    <t>Estampado metalizado en dorado o plateado.</t>
  </si>
  <si>
    <t>Sello automático 38x14 mm</t>
  </si>
  <si>
    <t>Hasta 4 líneas de texto. Almohadilla incorporada.</t>
  </si>
  <si>
    <t>Sello automático 47x18 mm</t>
  </si>
  <si>
    <t>Hasta 5 líneas. Ideal datos fiscales.</t>
  </si>
  <si>
    <t>Sello automático 58x22 mm</t>
  </si>
  <si>
    <t>Hasta 6 líneas, admite logo.</t>
  </si>
  <si>
    <t>Sello redondo</t>
  </si>
  <si>
    <t>Para profesionales y entidades.</t>
  </si>
  <si>
    <t>Sello fechador</t>
  </si>
  <si>
    <t>Con fecha regulable y texto fijo.</t>
  </si>
  <si>
    <t>Sello de madera</t>
  </si>
  <si>
    <t>Con mango, opción tinta aparte.</t>
  </si>
  <si>
    <t>Repuesto de almohadilla y entintado</t>
  </si>
  <si>
    <t>Servicio de recarga o cambio de almohadilla.</t>
  </si>
  <si>
    <t>Merchandising y regalería</t>
  </si>
  <si>
    <t>Tazas sublimadas</t>
  </si>
  <si>
    <t>Cerámica blanca 11 oz, impresión full color envolvente.</t>
  </si>
  <si>
    <t>Tazas mágicas</t>
  </si>
  <si>
    <t>Revelan la imagen al cargarse con líquido caliente.</t>
  </si>
  <si>
    <t>Remeras estampadas DTF</t>
  </si>
  <si>
    <t>Algodón, estampa full color de alta durabilidad.</t>
  </si>
  <si>
    <t>Remeras sublimadas</t>
  </si>
  <si>
    <t>Poliéster, impresión total sin relieve.</t>
  </si>
  <si>
    <t>Buzos estampados</t>
  </si>
  <si>
    <t>Frisa, estampa en frente y espalda.</t>
  </si>
  <si>
    <t>Gorras personalizadas</t>
  </si>
  <si>
    <t>Estampado o bordado del logo.</t>
  </si>
  <si>
    <t>Mousepads personalizados</t>
  </si>
  <si>
    <t>Base antideslizante, impresión full color.</t>
  </si>
  <si>
    <t>Llaveros acrílicos</t>
  </si>
  <si>
    <t>Corte con forma, impresión a color.</t>
  </si>
  <si>
    <t>50 u.</t>
  </si>
  <si>
    <t>Botellas y vasos térmicos</t>
  </si>
  <si>
    <t>Acero inoxidable con grabado o impresión.</t>
  </si>
  <si>
    <t>Agendas personalizadas</t>
  </si>
  <si>
    <t>Tapa impresa a medida, interior anillado o cosido.</t>
  </si>
  <si>
    <t>Almanaques de pared</t>
  </si>
  <si>
    <t>Full color, con espiral y colgante.</t>
  </si>
  <si>
    <t>Calendarios de escritorio</t>
  </si>
  <si>
    <t>Formato tríptico con base de cartulina.</t>
  </si>
  <si>
    <t>Imanes personalizados</t>
  </si>
  <si>
    <t>Imán flexible impreso, corte recto o con forma.</t>
  </si>
  <si>
    <t>Lanyards y portacredenciales</t>
  </si>
  <si>
    <t>Cinta impresa con enganche metálico.</t>
  </si>
  <si>
    <t>Pins y prendedores</t>
  </si>
  <si>
    <t>Botón metálico con impresión a color.</t>
  </si>
  <si>
    <t>Rompecabezas personalizado</t>
  </si>
  <si>
    <t>Sublimado sobre placa, varias cantidades de piezas.</t>
  </si>
  <si>
    <t>Eventos y sociales</t>
  </si>
  <si>
    <t>Invitaciones de casamiento</t>
  </si>
  <si>
    <t>Papel a elección, opción sobre y lacre. Diseño incluido.</t>
  </si>
  <si>
    <t>Invitaciones de 15 años</t>
  </si>
  <si>
    <t>Diseño personalizado con terminaciones especiales.</t>
  </si>
  <si>
    <t>Invitaciones infantiles</t>
  </si>
  <si>
    <t>Full color, tamaño y forma a elección.</t>
  </si>
  <si>
    <t>Tarjetas de agradecimiento</t>
  </si>
  <si>
    <t>Formato pequeño, papel opalina o ilustración.</t>
  </si>
  <si>
    <t>Souvenirs personalizados</t>
  </si>
  <si>
    <t>Imanes, llaveros, cajitas y etiquetas para el evento.</t>
  </si>
  <si>
    <t>Banderines y guirnaldas</t>
  </si>
  <si>
    <t>Cartulina troquelada con hilo, temática a elección.</t>
  </si>
  <si>
    <t>Toppers para torta</t>
  </si>
  <si>
    <t>Corte con forma sobre cartulina o acrílico.</t>
  </si>
  <si>
    <t>Kit de fiesta impreso</t>
  </si>
  <si>
    <t>Etiquetas, cajitas, banderines y stickers a juego.</t>
  </si>
  <si>
    <t>Por kit</t>
  </si>
  <si>
    <t>Credenciales para eventos</t>
  </si>
  <si>
    <t>Con lanyard, opción numeradas o con QR.</t>
  </si>
  <si>
    <t>Marco para fotos y photocall</t>
  </si>
  <si>
    <t>Estructura de cartón o PVC con corte a medida.</t>
  </si>
  <si>
    <t>Estampitas y recordatorios</t>
  </si>
  <si>
    <t>Opalina, tamaño estampita clásica.</t>
  </si>
  <si>
    <t>Señalética y punto de venta</t>
  </si>
  <si>
    <t>Cartelería de seguridad e higiene</t>
  </si>
  <si>
    <t>Señales normalizadas en PVC o vinilo.</t>
  </si>
  <si>
    <t>Señalética de baños y accesos</t>
  </si>
  <si>
    <t>Placas en acrílico, PVC o vinilo.</t>
  </si>
  <si>
    <t>Números de mesa</t>
  </si>
  <si>
    <t>Acrílico, PVC o cartulina con base.</t>
  </si>
  <si>
    <t>Cartas y menús plastificados</t>
  </si>
  <si>
    <t>Impresión full color con plastificado resistente.</t>
  </si>
  <si>
    <t>Menú QR con display</t>
  </si>
  <si>
    <t>Cartel de mesa en acrílico con código QR impreso.</t>
  </si>
  <si>
    <t>Carteles de precios y ofertas</t>
  </si>
  <si>
    <t>Cartulina o PVC, medidas estándar de góndola.</t>
  </si>
  <si>
    <t>Exhibidores de cartón</t>
  </si>
  <si>
    <t>Display de piso o mostrador con troquel a medida.</t>
  </si>
  <si>
    <t>Adhesivos de piso</t>
  </si>
  <si>
    <t>Vinilo con laminado antideslizante.</t>
  </si>
  <si>
    <t>Displays de mostrador</t>
  </si>
  <si>
    <t>Porta folletos y atriles en acrílico o PVC.</t>
  </si>
  <si>
    <t>Diseño y servicios</t>
  </si>
  <si>
    <t>Diseño de logo e identidad</t>
  </si>
  <si>
    <t>Propuesta de marca con archivos finales en vector.</t>
  </si>
  <si>
    <t>Diseño de folletería</t>
  </si>
  <si>
    <t>Armado de volantes, dípticos, trípticos y catálogos.</t>
  </si>
  <si>
    <t>Por pieza</t>
  </si>
  <si>
    <t>Diagramación editorial</t>
  </si>
  <si>
    <t>Maquetado de libros, revistas y manuales.</t>
  </si>
  <si>
    <t>Diseño de packaging</t>
  </si>
  <si>
    <t>Diseño gráfico y estructural sobre el troquel.</t>
  </si>
  <si>
    <t>Vectorización de logo</t>
  </si>
  <si>
    <t>Conversión de imagen a vector para impresión y corte.</t>
  </si>
  <si>
    <t>Preparación de archivos para impresión</t>
  </si>
  <si>
    <t>Ajuste de sangrados, perfiles de color y demasías.</t>
  </si>
  <si>
    <t>Impresión urgente</t>
  </si>
  <si>
    <t>Entrega en 24 horas sujeta a disponibilidad.</t>
  </si>
  <si>
    <t>Recargo</t>
  </si>
  <si>
    <t>Envío a domicilio</t>
  </si>
  <si>
    <t>Coordinación de entrega. Costo según zona.</t>
  </si>
  <si>
    <t>Por envío</t>
  </si>
  <si>
    <t>HOJA "LISTA MAESTRA"</t>
  </si>
  <si>
    <t>Qué es</t>
  </si>
  <si>
    <t>Catálogo de referencia con 127 productos y servicios que puede ofrecer una gráfica digital. NO es tu catálogo: es la lista de la que elegís.</t>
  </si>
  <si>
    <t>Cómo usarla</t>
  </si>
  <si>
    <t>Marcá Sí en la columna "¿Lo ofrezco?" y cargá el precio. Después filtrá por Sí y pasamos esas filas a la hoja "Productos".</t>
  </si>
  <si>
    <t>Importante</t>
  </si>
  <si>
    <t>Las descripciones son borradores genéricos. Revisá gramajes, medidas y cantidades mínimas contra lo que realmente hacés.</t>
  </si>
  <si>
    <t>Producto (nombre del sistema)</t>
  </si>
  <si>
    <t>Veces facturado</t>
  </si>
  <si>
    <t>Precio observado (ARS)</t>
  </si>
  <si>
    <t>Unidad probable</t>
  </si>
  <si>
    <t>Comentario</t>
  </si>
  <si>
    <t>¿Va al catálogo?</t>
  </si>
  <si>
    <t>IMPRESIONES OBRA 75 GR D/F · B/N</t>
  </si>
  <si>
    <t>Impresión doble faz blanco y negro en papel obra 75 g. Vendido de a cientos (207 hojas en el caso visto).</t>
  </si>
  <si>
    <t>Anillado Plastico a4/oficio 24 hs</t>
  </si>
  <si>
    <t>Anillado plástico A4 u oficio con entrega en 24 hs.</t>
  </si>
  <si>
    <t>Vinilo y Lona Brillo/Mate/Cristal UV</t>
  </si>
  <si>
    <t>29000 a 34000</t>
  </si>
  <si>
    <t>Por m2 o por trabajo</t>
  </si>
  <si>
    <t>Aparece dos veces con precios distintos. Una vez por m2 (cant 0,55) y otra como trabajo cerrado (50 etiquetas 14x10 con medio corte). Hay que definir cómo se cotiza.</t>
  </si>
  <si>
    <t>Papel Autoadhesivo Brillo / Split - A3</t>
  </si>
  <si>
    <t>Por unidad A3</t>
  </si>
  <si>
    <t>Adhesivo en hoja A3.</t>
  </si>
  <si>
    <t>Papel Autoadhesivo Brillo / Split - Medio Corte (Troquelado)</t>
  </si>
  <si>
    <t>Igual que el anterior pero con medio corte / troquelado.</t>
  </si>
  <si>
    <t>OPP Brillo</t>
  </si>
  <si>
    <t>Adhesivo OPP brillo, se vendió con troquel.</t>
  </si>
  <si>
    <t>OPP Mate/Holografico/Plata/Crystal/Glitter/Kraft</t>
  </si>
  <si>
    <t>Familia de OPP en varias terminaciones, un solo precio para todas.</t>
  </si>
  <si>
    <t>Impresión exterior / montado sobre plástico corrugado - 1 x 1 mt</t>
  </si>
  <si>
    <t>Cartel 1x1 m en vinilo brillo UV montado sobre corrugado plástico.</t>
  </si>
  <si>
    <t>Presupuesto N°</t>
  </si>
  <si>
    <t>Fecha</t>
  </si>
  <si>
    <t>Cliente</t>
  </si>
  <si>
    <t>Atendido por</t>
  </si>
  <si>
    <t>Producto (tal cual del sistema)</t>
  </si>
  <si>
    <t>Precio unit. (ARS)</t>
  </si>
  <si>
    <t>Cant.</t>
  </si>
  <si>
    <t>Total (ARS)</t>
  </si>
  <si>
    <t>Notas del presupuesto</t>
  </si>
  <si>
    <t>Línea original del PDF</t>
  </si>
  <si>
    <t>laura llull</t>
  </si>
  <si>
    <t>Juan Ignacio</t>
  </si>
  <si>
    <t>$ 88,00  207  -  -  $ 18.216,00</t>
  </si>
  <si>
    <t>$ 2.400,00  3  -  -  $ 7.200,00</t>
  </si>
  <si>
    <t>13/08/2026</t>
  </si>
  <si>
    <t>Alma Sanchez</t>
  </si>
  <si>
    <t>Figura un ajuste de $ 12.000 que no se aplicó al total (34.000 x 0,55 = 18.700). Cantidad 0,55 sugiere venta por m2.</t>
  </si>
  <si>
    <t>$ 34.000,00  0.55  $ 12.000,00  -  $ 18.700,00</t>
  </si>
  <si>
    <t>14/08/2026</t>
  </si>
  <si>
    <t>Dolores Bellocq</t>
  </si>
  <si>
    <t>Lucia</t>
  </si>
  <si>
    <t>$ 1.800,00  1  -  -  $ 1.800,00</t>
  </si>
  <si>
    <t>ISAIAS MARTIN GARCIA</t>
  </si>
  <si>
    <t>Brenda</t>
  </si>
  <si>
    <t>Nota del presupuesto: 2 OPP BRILLO c/troquel (2 copias del logo setto).</t>
  </si>
  <si>
    <t>$ 2.900,00  2  -  -  $ 5.800,00</t>
  </si>
  <si>
    <t>Nota del presupuesto: 3 ADHESIVOS c/troquel (1 de cada modelo).</t>
  </si>
  <si>
    <t>$ 2.500,00  3  -  -  $ 7.500,00</t>
  </si>
  <si>
    <t>Cerveza Antares</t>
  </si>
  <si>
    <t>$ 2.600,00  1  -  -  $ 2.600,00</t>
  </si>
  <si>
    <t>GIMENEZ IRAOLA ESTUDIO JURIDICO</t>
  </si>
  <si>
    <t>Nota: cartel 100x100 cm impreso en vinilo brillo UV montado en plástico corrugado. Figura un adicional del 20% que no cambia el total.</t>
  </si>
  <si>
    <t>$ 30.000,00  1  -  20.0%  $ 30.000,00</t>
  </si>
  <si>
    <t>COMUNICACIONES CLINICA COLON</t>
  </si>
  <si>
    <t>Luciana V</t>
  </si>
  <si>
    <t>Nota: 50 etiquetas 14x10 cm impresas en VINILO BRILLO UV con medio corte/troquelado. Figura un ajuste de $ 7.000 que no se aplicó al total.</t>
  </si>
  <si>
    <t>$ 29.000,00  1  $ 7.000,00  -  $ 29.000,00</t>
  </si>
  <si>
    <t>DATOS REALES EXTRAÍDOS DE TUS PRESUPUESTOS</t>
  </si>
  <si>
    <t>Origen</t>
  </si>
  <si>
    <t>7 PDF de presupuestos de la carpeta Downloads, del 11 al 14/08/2026. Un octavo PDF (CAD DIGITAL SRL) es un escaneo sin texto y de un proveedor, no se pudo leer.</t>
  </si>
  <si>
    <t>Presupuestos (crudo)</t>
  </si>
  <si>
    <t>Cada ítem facturado tal cual salió del PDF, con la línea original al lado para poder verificar.</t>
  </si>
  <si>
    <t>Productos reales</t>
  </si>
  <si>
    <t>Los 8 productos distintos que aparecen, con su precio observado. Es tu catálogo real, aunque sea una muestra chica.</t>
  </si>
  <si>
    <t>Advertencia</t>
  </si>
  <si>
    <t>Son 4 días de presupuestos: falta casi todo lo que hacés. Los precios son de agosto 2026 y quedan viejos rápido.</t>
  </si>
  <si>
    <t>00002188</t>
  </si>
  <si>
    <t>11/08/2026</t>
  </si>
  <si>
    <t>00002244</t>
  </si>
  <si>
    <t>00002257</t>
  </si>
  <si>
    <t>00002260</t>
  </si>
  <si>
    <t>00002264</t>
  </si>
  <si>
    <t>00002265</t>
  </si>
  <si>
    <t>00002283</t>
  </si>
  <si>
    <t>Lona</t>
  </si>
  <si>
    <t>Vinilo UV montado en corrugado</t>
  </si>
  <si>
    <t>Mínimo por trabajo</t>
  </si>
  <si>
    <t>Redondeo</t>
  </si>
  <si>
    <t>Ancho (cm)</t>
  </si>
  <si>
    <t>Alto (cm)</t>
  </si>
  <si>
    <t>Línea de precio</t>
  </si>
  <si>
    <t>$ por m2</t>
  </si>
  <si>
    <t>De dónde sale</t>
  </si>
  <si>
    <t>OPP brillo troquelado</t>
  </si>
  <si>
    <t>El precio final se redondea para arriba a este múltiplo.</t>
  </si>
  <si>
    <t>PRECIO</t>
  </si>
  <si>
    <t>Descripción para el catálogo</t>
  </si>
  <si>
    <t>$/m2</t>
  </si>
  <si>
    <t>Sin redondear</t>
  </si>
  <si>
    <t>100 stickers redondos de 5 cm</t>
  </si>
  <si>
    <t>250 stickers redondos de 5 cm</t>
  </si>
  <si>
    <t>100 etiquetas 9x5 cm</t>
  </si>
  <si>
    <t>250 etiquetas para frascos 6x3 cm</t>
  </si>
  <si>
    <t>100 stickers en OPP brillo 5x5 cm</t>
  </si>
  <si>
    <t>OPP brillo: más resistente al roce y a la humedad que el papel.</t>
  </si>
  <si>
    <t>100 stickers en OPP brillo 7x7 cm</t>
  </si>
  <si>
    <t>100 stickers en OPP brillo 10x10 cm</t>
  </si>
  <si>
    <t>100 etiquetas en OPP brillo 9x5 cm</t>
  </si>
  <si>
    <t>Tamaño tarjeta en OPP brillo.</t>
  </si>
  <si>
    <t>100 stickers holográficos 5x5 cm</t>
  </si>
  <si>
    <t>100 stickers holográficos 7x7 cm</t>
  </si>
  <si>
    <t>100 stickers holográficos 10x10 cm</t>
  </si>
  <si>
    <t>Carteles y vidrieras</t>
  </si>
  <si>
    <t>Cartel adhesivo 50x70 cm</t>
  </si>
  <si>
    <t>Cartel adhesivo 70x100 cm</t>
  </si>
  <si>
    <t>Vinilo para vidriera 1x1 m</t>
  </si>
  <si>
    <t>Impresión UV para vidriera. Consultá por microperforado y esmerilado.</t>
  </si>
  <si>
    <t>Vinilo para vidriera 1x2 m</t>
  </si>
  <si>
    <t>Cartel rígido 50x70 cm</t>
  </si>
  <si>
    <t>Vinilo UV montado sobre plástico corrugado. Liviano y rígido.</t>
  </si>
  <si>
    <t>Cartel rígido 70x100 cm</t>
  </si>
  <si>
    <t>Cartel rígido 1x1 m</t>
  </si>
  <si>
    <t>Cartel rígido 1,5x1 m</t>
  </si>
  <si>
    <t>Banners y lonas</t>
  </si>
  <si>
    <t>Banner de lona 1x1 m</t>
  </si>
  <si>
    <t>Lona impresa full color con dobladillo y ojalillos.</t>
  </si>
  <si>
    <t>Banner de lona 1,5x0,7 m</t>
  </si>
  <si>
    <t>Banner de lona 2x1 m</t>
  </si>
  <si>
    <t>Banner de lona 3x1 m</t>
  </si>
  <si>
    <t>Banner de lona 4x1 m</t>
  </si>
  <si>
    <t>LISTA DE PRECIOS - productos cerrados, agrupados por tamaño</t>
  </si>
  <si>
    <t>Tamaño</t>
  </si>
  <si>
    <t>Stickers con forma</t>
  </si>
  <si>
    <t>3x3 cm</t>
  </si>
  <si>
    <t>6x3 cm</t>
  </si>
  <si>
    <t>5x5 cm</t>
  </si>
  <si>
    <t>9x5 cm</t>
  </si>
  <si>
    <t>7x7 cm</t>
  </si>
  <si>
    <t>10x10 cm</t>
  </si>
  <si>
    <t>14x10 cm</t>
  </si>
  <si>
    <t>50x70 cm</t>
  </si>
  <si>
    <t>70x100 cm</t>
  </si>
  <si>
    <t>1x1 m</t>
  </si>
  <si>
    <t>1,5x1 m</t>
  </si>
  <si>
    <t>1x2 m</t>
  </si>
  <si>
    <t>1,5x0,7 m</t>
  </si>
  <si>
    <t>2x1 m</t>
  </si>
  <si>
    <t>3x1 m</t>
  </si>
  <si>
    <t>4x1 m</t>
  </si>
  <si>
    <t>Vinilo y lona UV</t>
  </si>
  <si>
    <t>Vinilo y lona UV con blanco o barniz</t>
  </si>
  <si>
    <t>50 etiquetas 14x10 cm</t>
  </si>
  <si>
    <t>100 etiquetas 14x10 cm</t>
  </si>
  <si>
    <t>Vinilo UV. Se pega sobre pared, vidrio o chapa. Consultá la opción con blanco o barniz.</t>
  </si>
  <si>
    <t>Mínimo m2</t>
  </si>
  <si>
    <t>ANCLA: presupuesto 00002265, cartel 1x1 m = $30.000. Mínimo de medio m2 aplicado por criterio, CONFIRMAR.</t>
  </si>
  <si>
    <t>m2 facturados</t>
  </si>
  <si>
    <t>PRECIOS POR PLIEGO A3</t>
  </si>
  <si>
    <t>Material</t>
  </si>
  <si>
    <t>OPP brillo</t>
  </si>
  <si>
    <t>Medida</t>
  </si>
  <si>
    <t>Nota</t>
  </si>
  <si>
    <t>1) PRECIO DEL PLIEGO SEGÚN CUÁNTOS PLIEGOS LLEVA EL TRABAJO</t>
  </si>
  <si>
    <t>Desde</t>
  </si>
  <si>
    <t>Hasta</t>
  </si>
  <si>
    <t>Precio por pliego</t>
  </si>
  <si>
    <t>Confirmado 18/08/2026</t>
  </si>
  <si>
    <t>Confirmado 18/08/2026: precio de lista</t>
  </si>
  <si>
    <t>Confirmado 18/08/2026: lista menos 10%</t>
  </si>
  <si>
    <t>Confirmado 18/08/2026: lista menos 20%</t>
  </si>
  <si>
    <t>OPP plata, holográfico, cristal o mate</t>
  </si>
  <si>
    <t>OPP plata, holográfico, cristal o mate troquelado</t>
  </si>
  <si>
    <t>2) GEOMETRÍA DEL PLIEGO</t>
  </si>
  <si>
    <t>Área imprimible - solo impresión</t>
  </si>
  <si>
    <t>Área imprimible - troquelado o medio corte</t>
  </si>
  <si>
    <t>Ancho x alto en cm.</t>
  </si>
  <si>
    <t>Separación entre stickers</t>
  </si>
  <si>
    <t>En cm. Solo aplica al troquelado y al medio corte.</t>
  </si>
  <si>
    <t>3) CUÁNTAS PIEZAS ENTRAN POR PLIEGO (calculado)</t>
  </si>
  <si>
    <t>Solo impresión</t>
  </si>
  <si>
    <t>Troquelado / medio corte</t>
  </si>
  <si>
    <t>Se prueban las dos orientaciones y se toma la que rinde más.</t>
  </si>
  <si>
    <t>Papel autoadhesivo y OPP se cotizan por pliego, NO por m2. Tocá solo las celdas amarillas.</t>
  </si>
  <si>
    <t>Papel autoadhesivo troquelado o medio corte</t>
  </si>
  <si>
    <t>Papel autoadhesivo solo impresión</t>
  </si>
  <si>
    <t>Confirmado 18/08/2026: lista mas 400 por el troquel</t>
  </si>
  <si>
    <t>Ancho x alto en cm, sin separación entre piezas.</t>
  </si>
  <si>
    <t>OJO: con esta escala, 100 stickers de 5x5 dan $6.600 y los de 7x7 dan $13.200. Antes se habían mencionado $5.800 y $11.000. Manda la escala; esos dos precios quedaron descartados.</t>
  </si>
  <si>
    <t>Stickers: se cotizan por PLIEGO A3 (la escala está en la hoja "Pliegos A3"). Vinilo y lona: por m2, con las tarifas de acá abajo.</t>
  </si>
  <si>
    <t>TARIFAS POR m2 - solo vinilo y lona</t>
  </si>
  <si>
    <t>Tarifa de lista confirmada el 18/08/2026. Mínimo facturable de medio m2.</t>
  </si>
  <si>
    <t>Ningún trabajo cotizado por m2 se cobra menos que esto.</t>
  </si>
  <si>
    <t>Modo</t>
  </si>
  <si>
    <t>Piezas por pliego</t>
  </si>
  <si>
    <t>Pliegos</t>
  </si>
  <si>
    <t>$/pliego</t>
  </si>
  <si>
    <t>250 stickers 3x3 cm</t>
  </si>
  <si>
    <t>Los más chicos. Papel autoadhesivo brillo. Troquelados sueltos o en plancha con medio corte, mismo precio.</t>
  </si>
  <si>
    <t>pliego</t>
  </si>
  <si>
    <t>Formato alargado para frascos y botellas chicas. Papel autoadhesivo brillo.</t>
  </si>
  <si>
    <t>100 stickers 5x5 cm</t>
  </si>
  <si>
    <t>Impresión full color, corte con forma. Papel autoadhesivo brillo. Troquelados sueltos o en plancha con medio corte.</t>
  </si>
  <si>
    <t>Corte circular. Papel autoadhesivo brillo. Ideal para cerrar packaging.</t>
  </si>
  <si>
    <t>OPP tornasolado. También en plata, cristal y mate, al mismo precio.</t>
  </si>
  <si>
    <t>250 stickers 5x5 cm</t>
  </si>
  <si>
    <t>Impresión full color, corte con forma. Papel autoadhesivo brillo.</t>
  </si>
  <si>
    <t>500 stickers 5x5 cm</t>
  </si>
  <si>
    <t>Tamaño tarjeta. Papel autoadhesivo brillo, full color.</t>
  </si>
  <si>
    <t>100 stickers 7x7 cm</t>
  </si>
  <si>
    <t>250 stickers 7x7 cm</t>
  </si>
  <si>
    <t>100 stickers 10x10 cm</t>
  </si>
  <si>
    <t>Etiqueta grande en papel autoadhesivo brillo, full color.</t>
  </si>
  <si>
    <t>m2</t>
  </si>
  <si>
    <t>Confirmado 18/08/2026: arriba de 100 pliegos, 10% de descuento. INTERPRETADO sobre el tramo de $1.900; si el 10% va sobre otro valor, corregir acá.</t>
  </si>
  <si>
    <t>Vinilo UV troquelado</t>
  </si>
  <si>
    <t>Confirmado 18/08/2026: vinilo y lona UV ($21.000) mas $7.000 de adicional por el troquelado. Trabajo mínimo medio m2.</t>
  </si>
  <si>
    <t>Los stickers en vinilo UV se cotizan por m2 con el adicional de troquelado, no por pliego. El pliego A3 aplica solo a papel autoadhesivo y OPP.</t>
  </si>
  <si>
    <t>Stickers para exterior</t>
  </si>
  <si>
    <t>100 stickers en vinilo UV 5x5 cm</t>
  </si>
  <si>
    <t>Vinilo con tinta UV y troquelado. Aguanta sol, lluvia y lavado: para autos, cascos y heladeras.</t>
  </si>
  <si>
    <t>250 stickers en vinilo UV 5x5 cm</t>
  </si>
  <si>
    <t>Vinilo con tinta UV y troquelado. Aguanta sol, lluvia y lavado.</t>
  </si>
  <si>
    <t>100 stickers en vinilo UV 7x7 cm</t>
  </si>
  <si>
    <t>100 stickers en vinilo UV 10x10 cm</t>
  </si>
  <si>
    <t>50 etiquetas en vinilo UV 14x10 cm</t>
  </si>
  <si>
    <t>Vinilo brillo UV con medio corte. Resistente a la humedad y al roce.</t>
  </si>
  <si>
    <t>100 etiquetas en vinilo UV 14x10 cm</t>
  </si>
  <si>
    <t>Confirmado 18/08/2026: lista menos 10% arriba de 100 pliegos</t>
  </si>
  <si>
    <t>Ilustración 300 g. Cuatro variantes: simple o doble faz, con o sin encapsulado. Full color y blanco y negro al mismo precio.</t>
  </si>
  <si>
    <t>100 y 500 u.</t>
  </si>
  <si>
    <t>Sí</t>
  </si>
  <si>
    <t>Cuatro variantes cargadas en Productos. Precio: el de 100 simple faz.</t>
  </si>
  <si>
    <t>No</t>
  </si>
  <si>
    <t>Papel obra 75 g. Impresión full color o a una tinta.</t>
  </si>
  <si>
    <t>Cargado en Productos.</t>
  </si>
  <si>
    <t>Oficio inglés. Impresión de logo y datos de contacto.</t>
  </si>
  <si>
    <t>Escala por unidad: 1-200 $250, 201-500 $220, 501-1000 $190, 1001+ $180. Precio: el de 100.</t>
  </si>
  <si>
    <t>Talonario 50x2, minimo 10</t>
  </si>
  <si>
    <t>A5 o A6 en papel obra 75 g. Impresión a una o dos tintas.</t>
  </si>
  <si>
    <t>10 u., laminadas o sin laminar</t>
  </si>
  <si>
    <t>A5 o A6, 50 hojas. Encolado superior o anillado. Ideal para congresos.</t>
  </si>
  <si>
    <t>PAP-3X3-250</t>
  </si>
  <si>
    <t>01-stickers-con-forma.jpg</t>
  </si>
  <si>
    <t>Precio calculado por formula en 'Lista de precios' fila 17. Foto de stock (Pexels, licencia libre) recortada 1200x1200: reemplazar por foto real del trabajo.</t>
  </si>
  <si>
    <t>PAP-6X3-250</t>
  </si>
  <si>
    <t>Precio calculado por formula en 'Lista de precios' fila 18. Foto de stock (Pexels, licencia libre) recortada 1200x1200: reemplazar por foto real del trabajo.</t>
  </si>
  <si>
    <t>PAP-5X5-100</t>
  </si>
  <si>
    <t>Precio calculado por formula en 'Lista de precios' fila 19. Foto de stock (Pexels, licencia libre) recortada 1200x1200: reemplazar por foto real del trabajo.</t>
  </si>
  <si>
    <t>PAP-5X5-100-R</t>
  </si>
  <si>
    <t>Precio calculado por formula en 'Lista de precios' fila 20. Foto de stock (Pexels, licencia libre) recortada 1200x1200: reemplazar por foto real del trabajo.</t>
  </si>
  <si>
    <t>OPB-5X5-100</t>
  </si>
  <si>
    <t>Precio calculado por formula en 'Lista de precios' fila 21. Foto de stock (Pexels, licencia libre) recortada 1200x1200: reemplazar por foto real del trabajo.</t>
  </si>
  <si>
    <t>OPH-5X5-100</t>
  </si>
  <si>
    <t>Precio calculado por formula en 'Lista de precios' fila 22. Foto de stock (Pexels, licencia libre) recortada 1200x1200: reemplazar por foto real del trabajo.</t>
  </si>
  <si>
    <t>PAP-5X5-250</t>
  </si>
  <si>
    <t>Precio calculado por formula en 'Lista de precios' fila 23. Foto de stock (Pexels, licencia libre) recortada 1200x1200: reemplazar por foto real del trabajo.</t>
  </si>
  <si>
    <t>PAP-5X5-250-R</t>
  </si>
  <si>
    <t>Precio calculado por formula en 'Lista de precios' fila 24. Foto de stock (Pexels, licencia libre) recortada 1200x1200: reemplazar por foto real del trabajo.</t>
  </si>
  <si>
    <t>PAP-5X5-500</t>
  </si>
  <si>
    <t>Precio calculado por formula en 'Lista de precios' fila 25. Foto de stock (Pexels, licencia libre) recortada 1200x1200: reemplazar por foto real del trabajo.</t>
  </si>
  <si>
    <t>PAP-9X5-100</t>
  </si>
  <si>
    <t>Precio calculado por formula en 'Lista de precios' fila 26. Foto de stock (Pexels, licencia libre) recortada 1200x1200: reemplazar por foto real del trabajo.</t>
  </si>
  <si>
    <t>OPB-9X5-100</t>
  </si>
  <si>
    <t>Precio calculado por formula en 'Lista de precios' fila 27. Foto de stock (Pexels, licencia libre) recortada 1200x1200: reemplazar por foto real del trabajo.</t>
  </si>
  <si>
    <t>PAP-7X7-100</t>
  </si>
  <si>
    <t>Precio calculado por formula en 'Lista de precios' fila 28. Foto de stock (Pexels, licencia libre) recortada 1200x1200: reemplazar por foto real del trabajo.</t>
  </si>
  <si>
    <t>OPB-7X7-100</t>
  </si>
  <si>
    <t>Precio calculado por formula en 'Lista de precios' fila 29. Foto de stock (Pexels, licencia libre) recortada 1200x1200: reemplazar por foto real del trabajo.</t>
  </si>
  <si>
    <t>OPH-7X7-100</t>
  </si>
  <si>
    <t>Precio calculado por formula en 'Lista de precios' fila 30. Foto de stock (Pexels, licencia libre) recortada 1200x1200: reemplazar por foto real del trabajo.</t>
  </si>
  <si>
    <t>PAP-7X7-250</t>
  </si>
  <si>
    <t>Precio calculado por formula en 'Lista de precios' fila 31. Foto de stock (Pexels, licencia libre) recortada 1200x1200: reemplazar por foto real del trabajo.</t>
  </si>
  <si>
    <t>PAP-10X10-100</t>
  </si>
  <si>
    <t>Precio calculado por formula en 'Lista de precios' fila 32. Foto de stock (Pexels, licencia libre) recortada 1200x1200: reemplazar por foto real del trabajo.</t>
  </si>
  <si>
    <t>OPB-10X10-100</t>
  </si>
  <si>
    <t>Precio calculado por formula en 'Lista de precios' fila 33. Foto de stock (Pexels, licencia libre) recortada 1200x1200: reemplazar por foto real del trabajo.</t>
  </si>
  <si>
    <t>OPH-10X10-100</t>
  </si>
  <si>
    <t>Precio calculado por formula en 'Lista de precios' fila 34. Foto de stock (Pexels, licencia libre) recortada 1200x1200: reemplazar por foto real del trabajo.</t>
  </si>
  <si>
    <t>PAP-14X10-50</t>
  </si>
  <si>
    <t>Precio calculado por formula en 'Lista de precios' fila 35. Foto de stock (Pexels, licencia libre) recortada 1200x1200: reemplazar por foto real del trabajo.</t>
  </si>
  <si>
    <t>PAP-14X10-100</t>
  </si>
  <si>
    <t>Precio calculado por formula en 'Lista de precios' fila 36. Foto de stock (Pexels, licencia libre) recortada 1200x1200: reemplazar por foto real del trabajo.</t>
  </si>
  <si>
    <t>VUV-5X5-100</t>
  </si>
  <si>
    <t>02-stickers-exterior.jpg</t>
  </si>
  <si>
    <t>Precio calculado por formula en 'Lista de precios' fila 37. Foto de stock (Pexels, licencia libre) recortada 1200x1200: reemplazar por foto real del trabajo.</t>
  </si>
  <si>
    <t>VUV-5X5-250</t>
  </si>
  <si>
    <t>Precio calculado por formula en 'Lista de precios' fila 38. Foto de stock (Pexels, licencia libre) recortada 1200x1200: reemplazar por foto real del trabajo.</t>
  </si>
  <si>
    <t>VUV-7X7-100</t>
  </si>
  <si>
    <t>Precio calculado por formula en 'Lista de precios' fila 39. Foto de stock (Pexels, licencia libre) recortada 1200x1200: reemplazar por foto real del trabajo.</t>
  </si>
  <si>
    <t>VUV-10X10-100</t>
  </si>
  <si>
    <t>Precio calculado por formula en 'Lista de precios' fila 40. Foto de stock (Pexels, licencia libre) recortada 1200x1200: reemplazar por foto real del trabajo.</t>
  </si>
  <si>
    <t>VUV-14X10-50</t>
  </si>
  <si>
    <t>Precio calculado por formula en 'Lista de precios' fila 41. Foto de stock (Pexels, licencia libre) recortada 1200x1200: reemplazar por foto real del trabajo.</t>
  </si>
  <si>
    <t>VUV-14X10-100</t>
  </si>
  <si>
    <t>Precio calculado por formula en 'Lista de precios' fila 42. Foto de stock (Pexels, licencia libre) recortada 1200x1200: reemplazar por foto real del trabajo.</t>
  </si>
  <si>
    <t>VUV-50X70</t>
  </si>
  <si>
    <t>03-carteles-vidrieras.jpg</t>
  </si>
  <si>
    <t>Precio calculado por formula en 'Lista de precios' fila 43. Foto de stock (Pexels, licencia libre) recortada 1200x1200: reemplazar por foto real del trabajo.</t>
  </si>
  <si>
    <t>CRG-50X70</t>
  </si>
  <si>
    <t>Precio calculado por formula en 'Lista de precios' fila 44. Foto de stock (Pexels, licencia libre) recortada 1200x1200: reemplazar por foto real del trabajo.</t>
  </si>
  <si>
    <t>VUV-70X100</t>
  </si>
  <si>
    <t>Precio calculado por formula en 'Lista de precios' fila 45. Foto de stock (Pexels, licencia libre) recortada 1200x1200: reemplazar por foto real del trabajo.</t>
  </si>
  <si>
    <t>CRG-70X100</t>
  </si>
  <si>
    <t>Precio calculado por formula en 'Lista de precios' fila 46. Foto de stock (Pexels, licencia libre) recortada 1200x1200: reemplazar por foto real del trabajo.</t>
  </si>
  <si>
    <t>VUV-100X100</t>
  </si>
  <si>
    <t>Precio calculado por formula en 'Lista de precios' fila 47. Foto de stock (Pexels, licencia libre) recortada 1200x1200: reemplazar por foto real del trabajo.</t>
  </si>
  <si>
    <t>CRG-100X100</t>
  </si>
  <si>
    <t>Precio calculado por formula en 'Lista de precios' fila 48. Foto de stock (Pexels, licencia libre) recortada 1200x1200: reemplazar por foto real del trabajo.</t>
  </si>
  <si>
    <t>CRG-150X100</t>
  </si>
  <si>
    <t>Precio calculado por formula en 'Lista de precios' fila 49. Foto de stock (Pexels, licencia libre) recortada 1200x1200: reemplazar por foto real del trabajo.</t>
  </si>
  <si>
    <t>VUV-100X200</t>
  </si>
  <si>
    <t>Precio calculado por formula en 'Lista de precios' fila 50. Foto de stock (Pexels, licencia libre) recortada 1200x1200: reemplazar por foto real del trabajo.</t>
  </si>
  <si>
    <t>LON-100X100</t>
  </si>
  <si>
    <t>04-banners-lonas.jpg</t>
  </si>
  <si>
    <t>Precio calculado por formula en 'Lista de precios' fila 51. Foto de stock (Pexels, licencia libre) recortada 1200x1200: reemplazar por foto real del trabajo.</t>
  </si>
  <si>
    <t>LON-150X70</t>
  </si>
  <si>
    <t>Precio calculado por formula en 'Lista de precios' fila 52. Foto de stock (Pexels, licencia libre) recortada 1200x1200: reemplazar por foto real del trabajo.</t>
  </si>
  <si>
    <t>LON-200X100</t>
  </si>
  <si>
    <t>Precio calculado por formula en 'Lista de precios' fila 53. Foto de stock (Pexels, licencia libre) recortada 1200x1200: reemplazar por foto real del trabajo.</t>
  </si>
  <si>
    <t>LON-300X100</t>
  </si>
  <si>
    <t>Precio calculado por formula en 'Lista de precios' fila 54. Foto de stock (Pexels, licencia libre) recortada 1200x1200: reemplazar por foto real del trabajo.</t>
  </si>
  <si>
    <t>LON-400X100</t>
  </si>
  <si>
    <t>Precio calculado por formula en 'Lista de precios' fila 55. Foto de stock (Pexels, licencia libre) recortada 1200x1200: reemplazar por foto real del trabajo.</t>
  </si>
  <si>
    <t>100 tarjetas 9x5 cm simple faz</t>
  </si>
  <si>
    <t>Impresión de un solo lado, full color o blanco y negro al mismo precio. Papel ilustración 300 g.</t>
  </si>
  <si>
    <t>TAR-9X5-100-S</t>
  </si>
  <si>
    <t>05-tarjetas.jpg</t>
  </si>
  <si>
    <t>100 tarjetas 9x5 cm simple faz encapsuladas</t>
  </si>
  <si>
    <t>Impresión de un solo lado con encapsulado plástico, que las protege del roce y la humedad. Ilustración 300 g.</t>
  </si>
  <si>
    <t>TAR-9X5-100-SE</t>
  </si>
  <si>
    <t>100 tarjetas 9x5 cm doble faz</t>
  </si>
  <si>
    <t>Impresión de los dos lados, full color o blanco y negro al mismo precio. Papel ilustración 300 g.</t>
  </si>
  <si>
    <t>TAR-9X5-100-D</t>
  </si>
  <si>
    <t>100 tarjetas 9x5 cm doble faz encapsuladas</t>
  </si>
  <si>
    <t>Impresión de los dos lados con encapsulado plástico, que las protege del roce y la humedad. Ilustración 300 g.</t>
  </si>
  <si>
    <t>TAR-9X5-100-DE</t>
  </si>
  <si>
    <t>500 tarjetas 9x5 cm simple faz</t>
  </si>
  <si>
    <t>TAR-9X5-500-S</t>
  </si>
  <si>
    <t>500 tarjetas 9x5 cm simple faz encapsuladas</t>
  </si>
  <si>
    <t>TAR-9X5-500-SE</t>
  </si>
  <si>
    <t>500 tarjetas 9x5 cm doble faz</t>
  </si>
  <si>
    <t>TAR-9X5-500-D</t>
  </si>
  <si>
    <t>500 tarjetas 9x5 cm doble faz encapsuladas</t>
  </si>
  <si>
    <t>TAR-9X5-500-DE</t>
  </si>
  <si>
    <t>500 hojas membretadas A4</t>
  </si>
  <si>
    <t>Papel obra 75 g. Impresión full color o a una tinta. Mínimo de compra: 500 hojas.</t>
  </si>
  <si>
    <t>MEM-A4-500</t>
  </si>
  <si>
    <t>06-membretadas.jpg</t>
  </si>
  <si>
    <t>100 sobres oficio inglés</t>
  </si>
  <si>
    <t>Sobre oficio inglés con logo y datos de contacto impresos. Mínimo de compra: 100 sobres.</t>
  </si>
  <si>
    <t>SOB-OFI-100</t>
  </si>
  <si>
    <t>Calculado con la escala por unidad confirmada el 19/08/2026: 1 a 200 $250, 201 a 500 $220, 501 a 1000 $190, 1001 o mas $180 por sobre. Falta la foto de la colección.</t>
  </si>
  <si>
    <t>500 sobres oficio inglés</t>
  </si>
  <si>
    <t>Sobre oficio inglés con logo y datos de contacto impresos. Por 500 unidades el sobre baja a $220.</t>
  </si>
  <si>
    <t>SOB-OFI-500</t>
  </si>
  <si>
    <t>10 talonarios de factura o remito 50x2</t>
  </si>
  <si>
    <t>Formato A5, abrochados y troquelados. Original y duplicado, numerados correlativos, 50 juegos por talonario. Color o blanco y negro al mismo precio. Mínimo de compra: 10 talonarios.</t>
  </si>
  <si>
    <t>TAL-FAC-10</t>
  </si>
  <si>
    <t>Confirmado el 19/08/2026 por Pedro. Falta la foto de la colección.</t>
  </si>
  <si>
    <t>10 talonarios de notas de pedido 50x2</t>
  </si>
  <si>
    <t>Formato A5, abrochados y troquelados. Original y duplicado, numerados correlativos, 50 juegos por talonario. Sirven también como comandas. Color o blanco y negro al mismo precio. Mínimo de compra: 10 talonarios.</t>
  </si>
  <si>
    <t>TAL-NOT-10</t>
  </si>
  <si>
    <t>FALTA EL PRECIO. Definido con Pedro el 19/08/2026 desde la lista maestra; no hay tarifa ni presupuesto previo para calcularlo. Falta también la foto de la colección.</t>
  </si>
  <si>
    <t>10 carpetas de presentación A4 laminadas</t>
  </si>
  <si>
    <t>Cartulina 300 g troquelada y laminada, con solapa y ranura porta tarjeta. Mínimo de compra: 10 carpetas; por cantidad baja hasta $2300 cada una.</t>
  </si>
  <si>
    <t>CAR-LAM-10</t>
  </si>
  <si>
    <t>Escala por unidad confirmada el 19/08/2026, laminadas: 1 a 20 $3000, 21 a 50 $2800, 51 a 100 $2600, 101 a 300 $2400, 301 o mas $2300. Falta la foto de la colección.</t>
  </si>
  <si>
    <t>10 carpetas de presentación A4 sin laminar</t>
  </si>
  <si>
    <t>Cartulina 300 g troquelada, con solapa y ranura porta tarjeta. Mínimo de compra: 10 carpetas; por cantidad baja hasta $1900 cada una.</t>
  </si>
  <si>
    <t>CAR-SIN-10</t>
  </si>
  <si>
    <t>Escala por unidad confirmada el 19/08/2026, sin laminar: 1 a 20 $2600, 21 a 50 $2500, 51 a 100 $2300, 101 a 300 $2100, 301 o mas $1900. Falta la foto de la colección.</t>
  </si>
  <si>
    <t>50 anotadores personalizados</t>
  </si>
  <si>
    <t>A5 o A6, 50 hojas, con tapa impresa. Encolado superior o anillado. Ideales para congresos. Mínimo de compra: 50 anotadores.</t>
  </si>
  <si>
    <t>ANO-50</t>
  </si>
  <si>
    <t>PRECIOS POR CANTIDAD</t>
  </si>
  <si>
    <t>Sobres y carpetas se cobran por unidad, y la unidad baja según cuántas lleva el trabajo. Para cotizar una cantidad cualquiera usá el cotizador de abajo: tocá solo las celdas amarillas.</t>
  </si>
  <si>
    <t>1) ESCALAS</t>
  </si>
  <si>
    <t>Precio por unidad</t>
  </si>
  <si>
    <t>Para el desplegable</t>
  </si>
  <si>
    <t>Sobres oficio inglés</t>
  </si>
  <si>
    <t>Confirmado el 19/08/2026 con la pantalla del sistema.</t>
  </si>
  <si>
    <t>Carpetas de presentación A4 laminadas</t>
  </si>
  <si>
    <t>Carpetas de presentación A4 sin laminar</t>
  </si>
  <si>
    <t>De 1001 en adelante.</t>
  </si>
  <si>
    <t>De 301 en adelante.</t>
  </si>
  <si>
    <t>2) COTIZADOR</t>
  </si>
  <si>
    <t>Cantidad</t>
  </si>
  <si>
    <t>Total</t>
  </si>
  <si>
    <t>Total redondeado</t>
  </si>
  <si>
    <t>El redondeo usa el mismo múltiplo de $100 del resto de la planilla. Si el producto no está en la lista, es porque no se cobra por unidad: los stickers van por pliego A3 y el gran formato por m2.</t>
  </si>
  <si>
    <t>Precio por packs</t>
  </si>
  <si>
    <t>Si el tamaño/medida de un producto es fijo, es decir, que no es en base a lo que pida el cliente y las medidas del material utilizado</t>
  </si>
  <si>
    <t>los casos que los productos tienen una medida pre establecida</t>
  </si>
  <si>
    <t>10 impresiones A4 color</t>
  </si>
  <si>
    <t>Papel obra 80 g, impresión láser full color. Para trabajos cortos con la mejor calidad. También en oficio y A3.</t>
  </si>
  <si>
    <t>IMP-A4C-10</t>
  </si>
  <si>
    <t/>
  </si>
  <si>
    <t>Láser color obra 80 g $750 x 10.</t>
  </si>
  <si>
    <t>100 impresiones A4 color</t>
  </si>
  <si>
    <t>Papel obra 75 g, un solo lado. El precio por hoja baja con la cantidad: consultá por tiradas más grandes.</t>
  </si>
  <si>
    <t>IMP-A4C-100</t>
  </si>
  <si>
    <t>Inkjet color S/F, tramo 71 a 150 hojas: $150 x 100.</t>
  </si>
  <si>
    <t>500 impresiones A4 color</t>
  </si>
  <si>
    <t>Papel obra 75 g, un solo lado. Ideal para cuadernillos y material de promoción.</t>
  </si>
  <si>
    <t>IMP-A4C-500</t>
  </si>
  <si>
    <t>Inkjet color S/F, tramo 151 a 500: $80 x 500.</t>
  </si>
  <si>
    <t>1000 impresiones A4 color</t>
  </si>
  <si>
    <t>Papel obra 75 g, un solo lado. Mejor precio por hoja de la escala.</t>
  </si>
  <si>
    <t>IMP-A4C-1000</t>
  </si>
  <si>
    <t>Inkjet color S/F, tramo 501 a 1000: $70 x 1000.</t>
  </si>
  <si>
    <t>100 impresiones A4 blanco y negro</t>
  </si>
  <si>
    <t>Papel obra 75 g, un solo lado. Apuntes, formularios, listados.</t>
  </si>
  <si>
    <t>IMP-A4N-100</t>
  </si>
  <si>
    <t>Inkjet B/N S/F, tramo 11 a 100: $70 x 100.</t>
  </si>
  <si>
    <t>100 impresiones A4 blanco y negro doble faz</t>
  </si>
  <si>
    <t>Papel obra 75 g, impreso de los dos lados. Rinde el doble de páginas por hoja.</t>
  </si>
  <si>
    <t>IMP-A4N-100D</t>
  </si>
  <si>
    <t>Inkjet B/N D/F, tramo 11 a 100: $96 x 100.</t>
  </si>
  <si>
    <t>500 impresiones A4 blanco y negro</t>
  </si>
  <si>
    <t>Papel obra 75 g, un solo lado.</t>
  </si>
  <si>
    <t>IMP-A4N-500</t>
  </si>
  <si>
    <t>Inkjet B/N S/F, tramo 101 a 500: $70 x 500.</t>
  </si>
  <si>
    <t>500 impresiones A4 blanco y negro doble faz</t>
  </si>
  <si>
    <t>Papel obra 75 g, impreso de los dos lados.</t>
  </si>
  <si>
    <t>IMP-A4N-500D</t>
  </si>
  <si>
    <t>Inkjet B/N D/F, tramo 101 a 500: $88 x 500.</t>
  </si>
  <si>
    <t>1000 impresiones A4 blanco y negro</t>
  </si>
  <si>
    <t>IMP-A4N-1000</t>
  </si>
  <si>
    <t>Inkjet B/N S/F, tramo 501 a 1000: $70 x 1000.</t>
  </si>
  <si>
    <t>1000 impresiones A4 blanco y negro doble faz</t>
  </si>
  <si>
    <t>IMP-A4N-1000D</t>
  </si>
  <si>
    <t>Inkjet B/N D/F, tramo 501 a 1000: $86 x 1000.</t>
  </si>
  <si>
    <t>10 impresiones oficio color</t>
  </si>
  <si>
    <t>Papel obra 80 g, impresión láser full color.</t>
  </si>
  <si>
    <t>IMP-OFC-10</t>
  </si>
  <si>
    <t>Láser color obra 80 g oficio $1.000 x 10.</t>
  </si>
  <si>
    <t>10 impresiones A3 color</t>
  </si>
  <si>
    <t>Papel obra 80 g, impresión láser full color. También en ilustración y opalina.</t>
  </si>
  <si>
    <t>IMP-A3C-10</t>
  </si>
  <si>
    <t>Láser color obra 80 g A3 $1.200 x 10.</t>
  </si>
  <si>
    <t>10 impresiones A3 blanco y negro</t>
  </si>
  <si>
    <t>Impresión A3 en tóner negro.</t>
  </si>
  <si>
    <t>IMP-A3N-10</t>
  </si>
  <si>
    <t>Impresiones a3 tonner negro $600 x 10.</t>
  </si>
  <si>
    <t>Impresión A4 en papel kraft 130 g</t>
  </si>
  <si>
    <t>Papel madera, para etiquetas y piezas con impronta artesanal. Precio por hoja.</t>
  </si>
  <si>
    <t>PAPE-KR130-A4</t>
  </si>
  <si>
    <t>Soportes Especiales: Papel Kraft 130 Gr A4.</t>
  </si>
  <si>
    <t>Impresión A3 en papel kraft 130 g</t>
  </si>
  <si>
    <t>Papel madera en A3. Precio por hoja.</t>
  </si>
  <si>
    <t>PAPE-KR130-A3</t>
  </si>
  <si>
    <t>Soportes Especiales: Papel Kraft 130 Gr A3.</t>
  </si>
  <si>
    <t>Impresión A4 en papel kraft 300 g</t>
  </si>
  <si>
    <t>Cartulina kraft de 300 g, para tarjetas y colgantes. Precio por hoja.</t>
  </si>
  <si>
    <t>PAPE-KR300-A4</t>
  </si>
  <si>
    <t>Soportes Especiales: Papel Kraft 300 Gr A4.</t>
  </si>
  <si>
    <t>Impresión A3 en papel kraft 300 g</t>
  </si>
  <si>
    <t>Cartulina kraft de 300 g en A3. Precio por hoja.</t>
  </si>
  <si>
    <t>PAPE-KR300-A3</t>
  </si>
  <si>
    <t>Soportes Especiales: Papel Kraft 300 Gr A3.</t>
  </si>
  <si>
    <t>Impresión A4 en papel vegetal</t>
  </si>
  <si>
    <t>Papel translúcido, para sobres, tarjetas y separadores. Precio por hoja.</t>
  </si>
  <si>
    <t>PAPE-VEG-A4</t>
  </si>
  <si>
    <t>Soportes Especiales: Vegetal A4.</t>
  </si>
  <si>
    <t>Impresión oficio o A3 en papel vegetal</t>
  </si>
  <si>
    <t>Papel translúcido en oficio o A3. Precio por hoja.</t>
  </si>
  <si>
    <t>PAPE-VEG-A3</t>
  </si>
  <si>
    <t>Soportes Especiales: Vegetal OFICIO / a3.</t>
  </si>
  <si>
    <t>Impresión A4 en papel autoadhesivo</t>
  </si>
  <si>
    <t>Autoadhesivo brillo o split. Precio por hoja. Consultá por el medio corte.</t>
  </si>
  <si>
    <t>PAPE-AUT-A4</t>
  </si>
  <si>
    <t>Soportes Especiales: Papel Autoadhesivo Brillo / Split A4.</t>
  </si>
  <si>
    <t>Impresión A3 en papel autoadhesivo</t>
  </si>
  <si>
    <t>Autoadhesivo brillo o split en A3. Precio por hoja.</t>
  </si>
  <si>
    <t>PAPE-AUT-A3</t>
  </si>
  <si>
    <t>Soportes Especiales: Papel Autoadhesivo Brillo / Split A3.</t>
  </si>
  <si>
    <t>Impresión en OPP brillo</t>
  </si>
  <si>
    <t>Film plástico brillante, resistente al agua y al roce. Precio por hoja.</t>
  </si>
  <si>
    <t>PAPE-OPP-BRI</t>
  </si>
  <si>
    <t>Soportes Especiales: OPP Brillo.</t>
  </si>
  <si>
    <t>Impresión en OPP mate, holográfico, plata, cristal, glitter o kraft</t>
  </si>
  <si>
    <t>Films especiales para etiquetas premium. Precio por hoja.</t>
  </si>
  <si>
    <t>PAPE-OPP-ESP</t>
  </si>
  <si>
    <t>Soportes Especiales: OPP Mate/Holografico/Plata/Crystal/Glitter/Kraft.</t>
  </si>
  <si>
    <t>500 volantes 10x15 cm blanco y negro</t>
  </si>
  <si>
    <t>Papel obra 75 g, impresos de un lado. El formato clásico de reparto en mano.</t>
  </si>
  <si>
    <t>FOL-BN-500</t>
  </si>
  <si>
    <t>Folletos 10x15 obra 75 b/n, columna 500.</t>
  </si>
  <si>
    <t>1000 volantes 10x15 cm blanco y negro</t>
  </si>
  <si>
    <t>Papel obra 75 g, impresos de un lado.</t>
  </si>
  <si>
    <t>FOL-BN-1000</t>
  </si>
  <si>
    <t>Folletos 10x15 obra 75 b/n, columna 1000.</t>
  </si>
  <si>
    <t>2000 volantes 10x15 cm blanco y negro</t>
  </si>
  <si>
    <t>FOL-BN-2000</t>
  </si>
  <si>
    <t>Folletos 10x15 obra 75 b/n, columna 2000.</t>
  </si>
  <si>
    <t>3000 volantes 10x15 cm blanco y negro</t>
  </si>
  <si>
    <t>Papel obra 75 g, impresos de un lado. Mejor precio por unidad.</t>
  </si>
  <si>
    <t>FOL-BN-3000</t>
  </si>
  <si>
    <t>Folletos 10x15 obra 75 b/n, columna 3000.</t>
  </si>
  <si>
    <t>500 volantes 10x15 cm color</t>
  </si>
  <si>
    <t>Papel obra 75 g, full color inkjet.</t>
  </si>
  <si>
    <t>FOL-CO-500</t>
  </si>
  <si>
    <t>Folletos 10x15 obra 75 color inkjet, columna 500.</t>
  </si>
  <si>
    <t>1000 volantes 10x15 cm color</t>
  </si>
  <si>
    <t>FOL-CO-1000</t>
  </si>
  <si>
    <t>Folletos 10x15 obra 75 color inkjet, columna 1000.</t>
  </si>
  <si>
    <t>2000 volantes 10x15 cm color</t>
  </si>
  <si>
    <t>FOL-CO-2000</t>
  </si>
  <si>
    <t>Folletos 10x15 obra 75 color inkjet, columna 2000.</t>
  </si>
  <si>
    <t>3000 volantes 10x15 cm color</t>
  </si>
  <si>
    <t>Papel obra 75 g, full color inkjet. Mejor precio por unidad.</t>
  </si>
  <si>
    <t>FOL-CO-3000</t>
  </si>
  <si>
    <t>Folletos 10x15 obra 75 color inkjet, columna 3000.</t>
  </si>
  <si>
    <t>500 folletos 10x15 cm en ilustración brillo 150 g</t>
  </si>
  <si>
    <t>Papel ilustración brillo de 150 g: más cuerpo y color más vivo que el papel obra.</t>
  </si>
  <si>
    <t>FOL-IL-500</t>
  </si>
  <si>
    <t>Folletos 10x15 ilustracion brillo 150, columna 500.</t>
  </si>
  <si>
    <t>1000 folletos 10x15 cm en ilustración brillo 150 g</t>
  </si>
  <si>
    <t>Papel ilustración brillo de 150 g. Para promociones y catálogos.</t>
  </si>
  <si>
    <t>FOL-IL-1000</t>
  </si>
  <si>
    <t>Folletos 10x15 ilustracion brillo 150, columna 1000.</t>
  </si>
  <si>
    <t>Apunte de 100 hojas doble faz con anillado</t>
  </si>
  <si>
    <t>Impresión blanco y negro de los dos lados en obra 75 g, más anillado plástico. 200 páginas.</t>
  </si>
  <si>
    <t>APU-100</t>
  </si>
  <si>
    <t>CALCULADO: inkjet B/N D/F tramo 11-100 $96 x 100 = $9.600 + anillado plástico $2.400.</t>
  </si>
  <si>
    <t>Apunte de 200 hojas doble faz con anillado</t>
  </si>
  <si>
    <t>Impresión blanco y negro de los dos lados en obra 75 g, más anillado plástico. 400 páginas.</t>
  </si>
  <si>
    <t>APU-200</t>
  </si>
  <si>
    <t>CALCULADO: inkjet B/N D/F tramo 101-500 $88 x 200 = $17.600 + anillado plástico $2.400.</t>
  </si>
  <si>
    <t>Módulo de medicina 100 hojas color</t>
  </si>
  <si>
    <t>Precio especial para módulos y apuntes de medicina. A4 color, un lado.</t>
  </si>
  <si>
    <t>MED-100</t>
  </si>
  <si>
    <t>CALCULADO: Impresión Medicina $45 por hoja x 100.</t>
  </si>
  <si>
    <t>10 tacos anotadores 10x7 cm color</t>
  </si>
  <si>
    <t>Emblocados con cartón de base, impresos full color. Se hacen desde 1 unidad.</t>
  </si>
  <si>
    <t>TAC-107C-10</t>
  </si>
  <si>
    <t>Tacos 10x7 color, tramo 1 a 10 unidades: $3.900 x 10.</t>
  </si>
  <si>
    <t>20 tacos anotadores 10x7 cm color</t>
  </si>
  <si>
    <t>Emblocados con cartón de base, impresos full color.</t>
  </si>
  <si>
    <t>TAC-107C-20</t>
  </si>
  <si>
    <t>Tacos 10x7 color, tramo 11 a 20 unidades: $3.500 x 20.</t>
  </si>
  <si>
    <t>10 tacos anotadores 10x7 cm blanco y negro</t>
  </si>
  <si>
    <t>Emblocados con cartón de base, impresión a una tinta.</t>
  </si>
  <si>
    <t>TAC-107N-10</t>
  </si>
  <si>
    <t>Tacos 10x7 negro, tramo 1 a 10 unidades: $3.700 x 10.</t>
  </si>
  <si>
    <t>10 tacos anotadores 10x15 cm color</t>
  </si>
  <si>
    <t>Emblocados con cartón de base, impresos full color. Formato mediano.</t>
  </si>
  <si>
    <t>TAC-1015C-10</t>
  </si>
  <si>
    <t>Tacos 10x15 color, tramo 1 a 10 unidades: $4.500 x 10.</t>
  </si>
  <si>
    <t>10 tacos anotadores 10x15 cm blanco y negro</t>
  </si>
  <si>
    <t>TAC-1015N-10</t>
  </si>
  <si>
    <t>Tacos 10x15 negro, tramo 1 a 10 unidades: $4.000 x 10.</t>
  </si>
  <si>
    <t>10 tacos anotadores 15x21 cm color</t>
  </si>
  <si>
    <t>Emblocados A5 con cartón de base, impresos full color.</t>
  </si>
  <si>
    <t>TAC-1521C-10</t>
  </si>
  <si>
    <t>Tacos 15x21 color, tramo 1 a 10 unidades: $5.400 x 10.</t>
  </si>
  <si>
    <t>Talonario de 100 rifas 10x7 cm</t>
  </si>
  <si>
    <t>Rifas numeradas con talón, en talonarios de 100 números.</t>
  </si>
  <si>
    <t>RIF-107-100</t>
  </si>
  <si>
    <t>Talonarios Rifas, 10x7 cm, tramo 100 a 249 rifas.</t>
  </si>
  <si>
    <t>250 rifas 10x7 cm</t>
  </si>
  <si>
    <t>Rifas numeradas con talón.</t>
  </si>
  <si>
    <t>RIF-107-250</t>
  </si>
  <si>
    <t>Talonarios Rifas, 10x7 cm, tramo 250 a 499 rifas.</t>
  </si>
  <si>
    <t>500 rifas 10x7 cm</t>
  </si>
  <si>
    <t>RIF-107-500</t>
  </si>
  <si>
    <t>Talonarios Rifas, 10x7 cm, tramo 500 a 999 rifas.</t>
  </si>
  <si>
    <t>1000 rifas 10x7 cm</t>
  </si>
  <si>
    <t>Rifas numeradas con talón. Para clubes, escuelas y instituciones.</t>
  </si>
  <si>
    <t>RIF-107-1000</t>
  </si>
  <si>
    <t>Talonarios Rifas, 10x7 cm, tramo 1000 a 4999 rifas.</t>
  </si>
  <si>
    <t>Talonario de 100 rifas 15x7 cm</t>
  </si>
  <si>
    <t>Rifas numeradas con talón, formato grande.</t>
  </si>
  <si>
    <t>RIF-157-100</t>
  </si>
  <si>
    <t>Talonarios Rifas, 15x7 cm, tramo 100 a 249 rifas.</t>
  </si>
  <si>
    <t>500 rifas 15x7 cm</t>
  </si>
  <si>
    <t>RIF-157-500</t>
  </si>
  <si>
    <t>Talonarios Rifas, 15x7 cm, tramo 500 a 999 rifas.</t>
  </si>
  <si>
    <t>1000 rifas 15x7 cm</t>
  </si>
  <si>
    <t>RIF-157-1000</t>
  </si>
  <si>
    <t>Talonarios Rifas, 15x7 cm, tramo 1000 a 4999 rifas.</t>
  </si>
  <si>
    <t>Anillado plástico A4 u oficio</t>
  </si>
  <si>
    <t>Anillo plástico con tapa y contratapa. Entrega en 24 a 48 hs.</t>
  </si>
  <si>
    <t>ANI-PLA-A4</t>
  </si>
  <si>
    <t>Anillado Plástico a4/Oficio 24-48 hs.</t>
  </si>
  <si>
    <t>Anillado plástico A3</t>
  </si>
  <si>
    <t>Anillo plástico en formato A3.</t>
  </si>
  <si>
    <t>ANI-PLA-A3</t>
  </si>
  <si>
    <t>Anillado Plastico a3.</t>
  </si>
  <si>
    <t>Anillado metálico hasta 3/4"</t>
  </si>
  <si>
    <t>Anillo metálico tipo Wire-O, A4 o A3. Abre 360 grados y queda plano.</t>
  </si>
  <si>
    <t>ANI-MET-34</t>
  </si>
  <si>
    <t>Anillado Metálico a4/a3 Hasta 3/4.</t>
  </si>
  <si>
    <t>Anillado metálico 1"</t>
  </si>
  <si>
    <t>Anillo metálico tipo Wire-O, A4 o A3.</t>
  </si>
  <si>
    <t>ANI-MET-1</t>
  </si>
  <si>
    <t>Anillado Metálico a4/a3 1".</t>
  </si>
  <si>
    <t>Anillado metálico 1" 1/4</t>
  </si>
  <si>
    <t>Anillo metálico tipo Wire-O para trabajos gruesos.</t>
  </si>
  <si>
    <t>ANI-MET-114</t>
  </si>
  <si>
    <t>Anillado Metálico a4/a3 1" 1/4.</t>
  </si>
  <si>
    <t>Anillado metálico 1" 1/2</t>
  </si>
  <si>
    <t>Anillo metálico tipo Wire-O, el más grueso de la escala.</t>
  </si>
  <si>
    <t>ANI-MET-112</t>
  </si>
  <si>
    <t>Anillado Metálico a4/a3 1" 1/2.</t>
  </si>
  <si>
    <t>Encuadernado 1 unidad</t>
  </si>
  <si>
    <t>Encuadernado con lomo pegado. Para tesis, memorias y libros.</t>
  </si>
  <si>
    <t>ANI-ENC-1</t>
  </si>
  <si>
    <t>Encuadernado 1 unidad.</t>
  </si>
  <si>
    <t>Encuadernado, 2 a 10 unidades</t>
  </si>
  <si>
    <t>Encuadernado con lomo pegado. Precio por unidad a partir de 2.</t>
  </si>
  <si>
    <t>ANI-ENC-10</t>
  </si>
  <si>
    <t>Encuadernado 2 a 10 unidades, precio unitario.</t>
  </si>
  <si>
    <t>Plastificado carnet 9x13 cm</t>
  </si>
  <si>
    <t>Plastificado rígido para credenciales y carnets.</t>
  </si>
  <si>
    <t>PLS-CAR</t>
  </si>
  <si>
    <t>Plastificado: Carnet 9x13 cm.</t>
  </si>
  <si>
    <t>Plastificado cocodrilo</t>
  </si>
  <si>
    <t>El formato chico, para credenciales y tarjetas.</t>
  </si>
  <si>
    <t>PLS-COC</t>
  </si>
  <si>
    <t>Plastificado: Cocodrilo.</t>
  </si>
  <si>
    <t>Plastificado A4</t>
  </si>
  <si>
    <t>Plastificado rígido A4. Para menús, señalética y láminas de uso diario.</t>
  </si>
  <si>
    <t>PLS-A4</t>
  </si>
  <si>
    <t>Plastificado A4.</t>
  </si>
  <si>
    <t>Plastificado oficio</t>
  </si>
  <si>
    <t>Plastificado rígido en oficio.</t>
  </si>
  <si>
    <t>PLS-OFC</t>
  </si>
  <si>
    <t>Plastificado Oficio.</t>
  </si>
  <si>
    <t>Plastificado A3</t>
  </si>
  <si>
    <t>Plastificado rígido A3.</t>
  </si>
  <si>
    <t>PLS-A3</t>
  </si>
  <si>
    <t>Plastificado a3.</t>
  </si>
  <si>
    <t>Laminado A4</t>
  </si>
  <si>
    <t>Lámina brillo o mate pegada sobre la impresión: la protege y realza el color.</t>
  </si>
  <si>
    <t>LAM-A4</t>
  </si>
  <si>
    <t>Laminado/Brillo Mate: Laminados A4.</t>
  </si>
  <si>
    <t>Laminado A3</t>
  </si>
  <si>
    <t>Lámina brillo o mate en A3.</t>
  </si>
  <si>
    <t>LAM-A3</t>
  </si>
  <si>
    <t>Laminado/Brillo Mate: Laminados A3.</t>
  </si>
  <si>
    <t>Encapsulado A4</t>
  </si>
  <si>
    <t>Lámina por los dos lados, sellada en el borde. Más resistente que el laminado.</t>
  </si>
  <si>
    <t>ENC-A4</t>
  </si>
  <si>
    <t>Laminado/Brillo Mate: Encapsulado A4.</t>
  </si>
  <si>
    <t>Encapsulado A3</t>
  </si>
  <si>
    <t>Lámina por los dos lados, sellada en el borde.</t>
  </si>
  <si>
    <t>ENC-A3</t>
  </si>
  <si>
    <t>Laminado/Brillo Mate: Encapsulado A3.</t>
  </si>
  <si>
    <t>Montado sobre cartón A3</t>
  </si>
  <si>
    <t>Impresión pegada sobre cartón rígido. Para láminas, fotos y carteles de mostrador.</t>
  </si>
  <si>
    <t>MON-A3</t>
  </si>
  <si>
    <t>Encartonado: Montado sobre carton A3.</t>
  </si>
  <si>
    <t>Montado sobre cartón 50x70 cm</t>
  </si>
  <si>
    <t>Impresión pegada sobre cartón rígido.</t>
  </si>
  <si>
    <t>MON-5070</t>
  </si>
  <si>
    <t>Encartonado: Montado sobre carton 50X70 CM.</t>
  </si>
  <si>
    <t>Montado sobre cartón 70x100 cm</t>
  </si>
  <si>
    <t>Impresión pegada sobre cartón rígido, el formato más grande.</t>
  </si>
  <si>
    <t>MON-10070</t>
  </si>
  <si>
    <t>Encartonado: Montado sobre carton 100X 70 CM.</t>
  </si>
  <si>
    <t>Plano A1 lineal</t>
  </si>
  <si>
    <t>Impresión de plano en papel obra 90 g, sin relleno de color. Arquitectura e ingeniería.</t>
  </si>
  <si>
    <t>PLA-A1-LIN</t>
  </si>
  <si>
    <t>CALCULADO: Plotter lineal obra 90 $7.000 x 0,5 m2 (A1).</t>
  </si>
  <si>
    <t>Plano A0 lineal</t>
  </si>
  <si>
    <t>Impresión de plano en papel obra 90 g, sin relleno de color.</t>
  </si>
  <si>
    <t>PLA-A0-LIN</t>
  </si>
  <si>
    <t>CALCULADO: Plotter lineal obra 90 $7.000 x 1 m2 (A0).</t>
  </si>
  <si>
    <t>Plano A1 con 50% de cobertura</t>
  </si>
  <si>
    <t>Plano con relleno de color en la mitad de la hoja: cortes, plantas coloreadas, renders.</t>
  </si>
  <si>
    <t>PLA-A1-50</t>
  </si>
  <si>
    <t>CALCULADO: Plotter 50% cobertura $13.000 x 0,5 m2 (A1).</t>
  </si>
  <si>
    <t>Plano A0 con 50% de cobertura</t>
  </si>
  <si>
    <t>Plano con relleno de color en la mitad de la hoja.</t>
  </si>
  <si>
    <t>PLA-A0-50</t>
  </si>
  <si>
    <t>CALCULADO: Plotter 50% cobertura $13.000 x 1 m2 (A0).</t>
  </si>
  <si>
    <t>Plano A1 en papel vegetal</t>
  </si>
  <si>
    <t>Papel vegetal translúcido, para originales y copias heliográficas.</t>
  </si>
  <si>
    <t>PLA-A1-VEG</t>
  </si>
  <si>
    <t>CALCULADO: Plotter vegetal lineal $13.000 x 0,5 m2 (A1).</t>
  </si>
  <si>
    <t>Escaneado de planos, metro lineal</t>
  </si>
  <si>
    <t>Digitalización de planos en gran formato. Precio por metro lineal.</t>
  </si>
  <si>
    <t>PLA-ESC</t>
  </si>
  <si>
    <t>Plotter m2: Escaneado de Planos, metro lineal.</t>
  </si>
  <si>
    <t>Impresión Autocad lineal A4</t>
  </si>
  <si>
    <t>Impresión de plano chico, color o negro, línea sin relleno. Precio por hoja.</t>
  </si>
  <si>
    <t>ACA-A4</t>
  </si>
  <si>
    <t>Autocad Lineal A4.</t>
  </si>
  <si>
    <t>Impresión Autocad lineal A3</t>
  </si>
  <si>
    <t>Impresión de plano A3, color o negro, línea sin relleno. Precio por hoja.</t>
  </si>
  <si>
    <t>ACA-A3</t>
  </si>
  <si>
    <t>Autocad Lineal A3.</t>
  </si>
  <si>
    <t>Porta banner 2 velas 0,90 x 1,90 m</t>
  </si>
  <si>
    <t>Estructura tipo araña con la lona impresa. Se arma y se guarda en minutos.</t>
  </si>
  <si>
    <t>POR-2V</t>
  </si>
  <si>
    <t>PORTA BANNERS: Porta Banner 2 velas 0.90 x 1.90 mt.</t>
  </si>
  <si>
    <t>Porta banner roll up 0,85 x 2,00 m</t>
  </si>
  <si>
    <t>Roll up con estuche: la lona se enrolla dentro de la base. Para ferias y locales.</t>
  </si>
  <si>
    <t>POR-RU</t>
  </si>
  <si>
    <t>PORTA BANNERS: Porta Banner Roll up 0.85 x 2.00 mt.</t>
  </si>
  <si>
    <t>Cartel en plástico corrugado A3</t>
  </si>
  <si>
    <t>Impresión para exterior montada sobre plástico corrugado. Liviano y rígido.</t>
  </si>
  <si>
    <t>CRG-A3</t>
  </si>
  <si>
    <t>Carteleria en plástico corrugado: a3.</t>
  </si>
  <si>
    <t>6 carteles inmobiliaria 1 x 0,65 m</t>
  </si>
  <si>
    <t>Promoción para inmobiliarias: 6 carteles en plástico corrugado de 1 x 0,65 m.</t>
  </si>
  <si>
    <t>CRG-PROMO6</t>
  </si>
  <si>
    <t>Carteleria en plástico corrugado: Promocion Inmobiliarias 6 carteles.</t>
  </si>
  <si>
    <t>Cartelería en PVC con vinilo, por m2</t>
  </si>
  <si>
    <t>Placa de PVC rígido con vinilo brillo o mate. La opción durable para frentes y señalética.</t>
  </si>
  <si>
    <t>PVC-M2</t>
  </si>
  <si>
    <t>Carteleria en Pvc c/vinilo brillo/mate, m2.</t>
  </si>
  <si>
    <t>Imán personalizado</t>
  </si>
  <si>
    <t>Impresión laminada y cortada sobre imán. Precio por unidad de 1 a 3.</t>
  </si>
  <si>
    <t>IMA-1</t>
  </si>
  <si>
    <t>Iman. Impresión laminada y corte, tramo 1 a 3 unidades.</t>
  </si>
  <si>
    <t>10 imanes personalizados</t>
  </si>
  <si>
    <t>Impresión laminada y cortada sobre imán. Para regalo empresarial y promoción.</t>
  </si>
  <si>
    <t>IMA-10</t>
  </si>
  <si>
    <t>CALCULADO: Iman tramo 4 a 10 unidades $7.800 x 10.</t>
  </si>
  <si>
    <t>20 imanes personalizados</t>
  </si>
  <si>
    <t>Impresión laminada y cortada sobre imán. Mejor precio por unidad.</t>
  </si>
  <si>
    <t>IMA-20</t>
  </si>
  <si>
    <t>CALCULADO: Iman tramo 11 a 20 unidades $7.200 x 20.</t>
  </si>
  <si>
    <t>Imanes troquelados con forma, mínimo ½ m2</t>
  </si>
  <si>
    <t>Imanes cortados con la forma que quieras. Impresión láser o ecosolvente. Mínimo medio m2.</t>
  </si>
  <si>
    <t>IMA-TRO-LAS</t>
  </si>
  <si>
    <t>PIEZAS GRAFICAS: IMANES TROQUELADOS / IMPRESION LASER/ECOSOLVENTE.</t>
  </si>
  <si>
    <t>Imanes troquelados con forma en UV, mínimo ½ m2</t>
  </si>
  <si>
    <t>Imanes cortados con forma, impresión UV: color más resistente. Mínimo medio m2.</t>
  </si>
  <si>
    <t>IMA-TRO-UV</t>
  </si>
  <si>
    <t>PIEZAS GRAFICAS: IMANES TROQUELADOS / IMPRESION UV.</t>
  </si>
  <si>
    <t>Sobre oficio inglés</t>
  </si>
  <si>
    <t>Sobre blanco, precio por unidad. Consultá por la impresión con tu logo.</t>
  </si>
  <si>
    <t>LIB-SOB-ING</t>
  </si>
  <si>
    <t>Libreria: Sobre Ingles.</t>
  </si>
  <si>
    <t>Sobre A4</t>
  </si>
  <si>
    <t>Sobre bolsa tamaño A4, precio por unidad.</t>
  </si>
  <si>
    <t>LIB-SOB-A4</t>
  </si>
  <si>
    <t>Libreria: Sobre a4.</t>
  </si>
  <si>
    <t>Sobre A3</t>
  </si>
  <si>
    <t>Sobre bolsa tamaño A3, precio por unidad.</t>
  </si>
  <si>
    <t>LIB-SOB-A3</t>
  </si>
  <si>
    <t>Libreria: Sobre a3.</t>
  </si>
  <si>
    <t>Folio A4 u oficio</t>
  </si>
  <si>
    <t>Folio transparente, precio por unidad.</t>
  </si>
  <si>
    <t>LIB-FOL</t>
  </si>
  <si>
    <t>Libreria: Folios a4/Oficio.</t>
  </si>
  <si>
    <t>Carpeta con vaina</t>
  </si>
  <si>
    <t>Carpeta con vaina deslizante, precio por unidad.</t>
  </si>
  <si>
    <t>LIB-CAR-VAINA</t>
  </si>
  <si>
    <t>Libreria: Carpetas con Vaina.</t>
  </si>
  <si>
    <t>A4</t>
  </si>
  <si>
    <t>A5</t>
  </si>
  <si>
    <t>Impresión color A4 tinta</t>
  </si>
  <si>
    <t>Impresión color A3 laser</t>
  </si>
  <si>
    <t>Tarjetas, precio de lista del sistema</t>
  </si>
  <si>
    <t>fijo</t>
  </si>
  <si>
    <t>100 tarjetas 9x5 cm en papel kraft 280 g simple faz</t>
  </si>
  <si>
    <t>Papel kraft de 280 g, sin encapsular. Textura natural, se puede escribir encima. Impresión de un solo lado.</t>
  </si>
  <si>
    <t>100 tarjetas 9x5 cm en papel kraft 280 g doble faz</t>
  </si>
  <si>
    <t>Papel kraft de 280 g, sin encapsular. Textura natural, se puede escribir encima. Impresión de los dos lados.</t>
  </si>
  <si>
    <t>1000 tarjetas 9x5 cm simple faz</t>
  </si>
  <si>
    <t>1000 tarjetas 9x5 cm simple faz encapsuladas</t>
  </si>
  <si>
    <t>1000 tarjetas 9x5 cm doble faz</t>
  </si>
  <si>
    <t>1000 tarjetas 9x5 cm doble faz encapsuladas</t>
  </si>
  <si>
    <t>500 hojas membretadas en papel obra 75 g, full color o a una tinta. Mínimo 500.</t>
  </si>
  <si>
    <t>Precio de lista del sistema</t>
  </si>
  <si>
    <t>21x11 cm</t>
  </si>
  <si>
    <t>100 sobres oficio inglés con logo y datos impresos. Mínimo 100. 500 sobres $110.000.</t>
  </si>
  <si>
    <t>10 talonarios de 50 juegos por duplicado, abrochados y troquelados.</t>
  </si>
  <si>
    <t>10 talonarios de notas de pedido, 50 juegos por duplicado.</t>
  </si>
  <si>
    <t>consultar</t>
  </si>
  <si>
    <t>A4 cerrada</t>
  </si>
  <si>
    <t>Carpeta de presentación A4 en cartulina 300 g, troquelada, con solapa y ranura. Sin laminar; laminada $3.000. Baja a $1.900 desde 301 unidades.</t>
  </si>
  <si>
    <t>Carpetas, tramo 1 a 20 unidades</t>
  </si>
  <si>
    <t>unidad</t>
  </si>
  <si>
    <t>10x15 cm</t>
  </si>
  <si>
    <t>Anotador emblocado con cartón de base, impresión a una tinta. En color $4.500. Baja a $2.600 desde 51 unidades.</t>
  </si>
  <si>
    <t>Tacos / Emblocados 10x15 cm negro, tramo 1 a 10</t>
  </si>
  <si>
    <t>No hacemos credenciales ni tarjetas plásticas. Alternativa: tarjetas en ilustración 300 g encapsuladas, o plastificado carnet 9x13 cm.</t>
  </si>
  <si>
    <t>No se hace</t>
  </si>
  <si>
    <t>no</t>
  </si>
  <si>
    <t>Impresión color A4 en obra 75 g. Precio por hoja: $400 hasta 70, $150 de 71 a 150, $80 de 151 a 500, $70 desde 501.</t>
  </si>
  <si>
    <t>Inkjet color simple faz, tramo 1 a 70 hojas</t>
  </si>
  <si>
    <t>hoja</t>
  </si>
  <si>
    <t>A3</t>
  </si>
  <si>
    <t>Impresión color A3 en láser, papel obra 80 g. En ilustración o mate desde $1.600.</t>
  </si>
  <si>
    <t>Impresiones laser color, obra 80 g, A3</t>
  </si>
  <si>
    <t>Impresión blanco y negro A4 en obra 75 g. Precio por hoja: $100 hasta 10, $70 desde 11. Doble faz desde $96.</t>
  </si>
  <si>
    <t>Inkjet B/N simple faz, tramo 1 a 10 hojas</t>
  </si>
  <si>
    <t>Impresiones a3 tonner negro</t>
  </si>
  <si>
    <t>Impresión color en papel ilustración. A4 $800, oficio $1.300, A3 $1.600. En mate 250 g o 300 g, A4 $900.</t>
  </si>
  <si>
    <t>Impresiones laser color, ilustración brillo 150 g, A4</t>
  </si>
  <si>
    <t>Impresión color en opalina 250 g. A4 $900, oficio $1.500, A3 $1.800.</t>
  </si>
  <si>
    <t>Impresiones laser color, opalina obra 250 g, A4</t>
  </si>
  <si>
    <t>Apunte de 100 hojas impresas de los dos lados (200 páginas) con anillado plástico. 200 hojas $20.000.</t>
  </si>
  <si>
    <t>CALCULADO: 100 hojas D/F $96 + anillado $2.400</t>
  </si>
  <si>
    <t>A medida</t>
  </si>
  <si>
    <t>Impresión de planos en obra 90 g. El precio de referencia es un A1 lineal. Con 50% de cobertura $13.000 el m2; en vegetal o encapado $13.000 el m2 lineal.</t>
  </si>
  <si>
    <t>Plotter lineal obra 90 g, $7.000 el m2</t>
  </si>
  <si>
    <t>Fotocopia A4 blanco y negro. $100 hasta 10 hojas, $70 desde 11. Doble faz desde $96. En color, ver impresión color A4.</t>
  </si>
  <si>
    <t>Escaneado de Planos, metro lineal</t>
  </si>
  <si>
    <t>metro lineal</t>
  </si>
  <si>
    <t>500 volantes 10x15 cm en obra 75 g, blanco y negro. En color $19.000. 1000 b/n $20.000, 1000 color $27.000.</t>
  </si>
  <si>
    <t>Folletos 10x15 obra 75 g b/n, columna 500</t>
  </si>
  <si>
    <t>A4 plegado</t>
  </si>
  <si>
    <t>Catálogo abrochado a caballo. El armado (plegado, refilado y 2 ganchos) sale $2.000 por ejemplar; falta cerrar el precio de la impresión por cantidad de páginas.</t>
  </si>
  <si>
    <t>Armado de revistas $2.000 c/u, falta la impresión</t>
  </si>
  <si>
    <t>Revista abrochada a caballo. Armado $2.000 por ejemplar; falta el precio de impresión por páginas.</t>
  </si>
  <si>
    <t>Encuadernación fresada (lomo pegado). 1 unidad $7.000; de 2 a 10, $5.000 cada una. No incluye la impresión.</t>
  </si>
  <si>
    <t>Encuadernado, 1 unidad</t>
  </si>
  <si>
    <t>Póster A3 en ilustración brillo. En A2 se hace por plotter: consultar por medida.</t>
  </si>
  <si>
    <t>Impresiones laser color, ilustración brillo 150 g, A3</t>
  </si>
  <si>
    <t>Lona impresa full color con dobladillo y ojalillos. Ancho máximo 1,52 m. Mínimo medio m2. Lona mate o backlight $18.000 el m2.</t>
  </si>
  <si>
    <t>Lona Front Brillo, $16.000 el m2</t>
  </si>
  <si>
    <t>Vinilo adhesivo impreso full color. Ancho máximo 1,48 m. Mínimo medio m2. Mate o cristal $18.000 el m2.</t>
  </si>
  <si>
    <t>Vinilo Brillo Satinado, $16.000 el m2</t>
  </si>
  <si>
    <t>Vinilo microperforado para vidrieras: se ve de adentro hacia afuera. Mínimo medio m2.</t>
  </si>
  <si>
    <t>Microperforado, $18.000 el m2</t>
  </si>
  <si>
    <t>0,85x2,00 m</t>
  </si>
  <si>
    <t>Roll up con estuche: la lona se enrolla dentro de la base. Incluye la impresión.</t>
  </si>
  <si>
    <t>PORTA BANNERS, roll up</t>
  </si>
  <si>
    <t>0,90x1,90 m</t>
  </si>
  <si>
    <t>Porta banner tipo araña de 2 velas, 0,90 x 1,90 m. Incluye la impresión. La medida de 60x160 no la tenemos: esta es la que hacemos.</t>
  </si>
  <si>
    <t>PORTA BANNERS, 2 velas</t>
  </si>
  <si>
    <t>Cartel en PVC espumado con vinilo brillo o mate. Mínimo medio m2. Alternativa más económica: plástico corrugado.</t>
  </si>
  <si>
    <t>Carteleria en Pvc c/vinilo, $46.000 el m2</t>
  </si>
  <si>
    <t>Pasacalles en lona con dobladillo y ojalillos. Ancho máximo 1,52 m: los más largos van con empalme.</t>
  </si>
  <si>
    <t>Backdrop o photocall en lona impresa. La estructura no está incluida: consultar.</t>
  </si>
  <si>
    <t>100 stickers troquelados de 5x5 cm en papel autoadhesivo brillo. 250 unidades $15.400, 500 $26.000. En OPP brillo $8.400.</t>
  </si>
  <si>
    <t>Pliegos A3, papel autoadhesivo</t>
  </si>
  <si>
    <t>Plancha A4 de stickers en papel autoadhesivo con medio corte. Desde 2 planchas el medio corte baja a $500; desde 101, a $100.</t>
  </si>
  <si>
    <t>CALCULADO: autoadhesivo A4 $900 + medio corte $1.000</t>
  </si>
  <si>
    <t>250 etiquetas de 6x3 cm para frascos y botellas, papel autoadhesivo brillo. Para exterior o humedad, en vinilo UV.</t>
  </si>
  <si>
    <t>100 stickers holográficos de 5x5 cm en OPP tornasolado. También en plata, cristal y mate al mismo precio.</t>
  </si>
  <si>
    <t>Pliegos A3, OPP holográfico</t>
  </si>
  <si>
    <t>Se imprime igual que cualquier etiqueta; falta cerrar el formato</t>
  </si>
  <si>
    <t>A4 u oficio</t>
  </si>
  <si>
    <t>Anillado plástico con tapa y contratapa, entrega en 24 a 48 hs. En A3 $3.200. No incluye la impresión.</t>
  </si>
  <si>
    <t>Anillado Plástico a4/Oficio</t>
  </si>
  <si>
    <t>A4 o A3</t>
  </si>
  <si>
    <t>Anillado metálico Wire-O: abre 360 grados y queda plano. Hasta 3/4" $3.200; 1" $3.400; 1" 1/4 $4.200; 1" 1/2 $4.600.</t>
  </si>
  <si>
    <t>Anillado Metálico, hasta 3/4"</t>
  </si>
  <si>
    <t>Encuadernación abrochada a caballo: plegado, refilado y dos ganchos. Solo abrochar, $1.000. No incluye la impresión.</t>
  </si>
  <si>
    <t>Armado de Revistas, plegado/refilado y 2 ganchos</t>
  </si>
  <si>
    <t>Encuadernación fresada, lomo pegado. De 2 a 10 unidades, $5.000 cada una. No incluye la impresión.</t>
  </si>
  <si>
    <t>Laminado mate por una cara. A4 $330, A3 $600, por metro $850. Encapsulado (las dos caras selladas) A4 $600.</t>
  </si>
  <si>
    <t>Laminado/Brillo Mate, laminados A4</t>
  </si>
  <si>
    <t>Laminado brillante por una cara. A4 $330, A3 $600, por metro $850.</t>
  </si>
  <si>
    <t>Plastificado rígido de documentos. A4 $2.200, oficio $2.400, A3 $3.000, carnet 9x13 $1.500, cocodrilo $800.</t>
  </si>
  <si>
    <t>Trazado/Troquelado Manual de papel, por pasada</t>
  </si>
  <si>
    <t>Numerado correlativo con numeradora, precio por trabajo. Los talonarios de rifas ya vienen numerados.</t>
  </si>
  <si>
    <t>Numeradora</t>
  </si>
  <si>
    <t>Colocación de ojalillos, precio por unidad. En lonas y banners suele ir incluido.</t>
  </si>
  <si>
    <t>Ojales</t>
  </si>
  <si>
    <t>Perforado y microperforado. 500 perforaciones $4.000, 1000 $6.000.</t>
  </si>
  <si>
    <t>Perforaciones, 500</t>
  </si>
  <si>
    <t>Imán personalizado con impresión laminada y corte. De 4 a 10 unidades $7.800; de 11 a 20, $7.200. Troquelados con forma, desde $62.000 el medio m2.</t>
  </si>
  <si>
    <t>Iman, impresión laminada y corte, tramo 1 a 3</t>
  </si>
  <si>
    <t>Se pueden hacer como tarjeta; falta cerrar formato</t>
  </si>
  <si>
    <t>100 tarjetas de agradecimiento 9x5 cm en ilustración 300 g, un lado. Doble faz $16.500. En kraft 280 g, $17.600.</t>
  </si>
  <si>
    <t>Tarjetas 9x5 cm, 100 unidades simple faz</t>
  </si>
  <si>
    <t>9x13 cm</t>
  </si>
  <si>
    <t>Credencial para eventos: impresión más plastificado rígido de 9x13 cm. El cordón y el portacredencial se cotizan aparte.</t>
  </si>
  <si>
    <t>Plastificado, carnet 9x13 cm</t>
  </si>
  <si>
    <t>Cartel de seguridad e higiene en A3, impresión exterior montada sobre plástico corrugado. Liviano y rígido. En 1x1 m $34.000.</t>
  </si>
  <si>
    <t>Carteleria en plástico corrugado, a3</t>
  </si>
  <si>
    <t>Señalética de baños y accesos en A3 sobre plástico corrugado. Para interior también se puede en A4 plastificado.</t>
  </si>
  <si>
    <t>Recetarios en negro</t>
  </si>
  <si>
    <t>A5 o A6</t>
  </si>
  <si>
    <t>Recetario A5 o A6 en obra 75 g, a una o dos tintas, emblocado con cartón de base. Mínimo 5 unidades. Precio por unidad: $4.000 de 1 a 10, $3.400 de 11 a 20, $3.000 de 21 a 50 y $2.600 desde 51. Para full color, ver Recetarios en color.</t>
  </si>
  <si>
    <t>Tacos / Emblocados 10x15 cm negro, tramo 1 a 10 unidades</t>
  </si>
  <si>
    <t>Recetarios en color</t>
  </si>
  <si>
    <t>Recetario A5 o A6 en obra 75 g, impresión full color, emblocado con cartón de base. Mínimo 5 unidades. Precio por unidad: $4.500 de 1 a 10, $3.800 de 11 a 20, $3.200 de 21 a 50 y $2.800 desde 51.</t>
  </si>
  <si>
    <t>Tacos / Emblocados 10x15 cm color, tramo 1 a 10 unidades</t>
  </si>
  <si>
    <t>5 recetarios A5 o A6</t>
  </si>
  <si>
    <t>Recetario A5 o A6 en obra 75 g, a una o dos tintas, emblocado con cartón de base. Mínimo 5 unidades. Precio por unidad: $4.000 de 1 a 10, $3.400 de 11 a 20, $3.000 de 21 a 50 y $2.600 desde 51. En color, $4.500 la unidad.</t>
  </si>
  <si>
    <t>REC-5</t>
  </si>
  <si>
    <t>Precio por unidad tomado de Tacos / Emblocados 10x15 cm negro (mismo trabajo). Minimo corregido de 50 a 5 unidades por Pedro el 27/08/2026. Falta la foto.</t>
  </si>
  <si>
    <t>5 recetarios A5 o A6 en color</t>
  </si>
  <si>
    <t>REC-COL-5</t>
  </si>
  <si>
    <t>Precio por unidad tomado de Tacos / Emblocados 10x15 cm color (mismo trabajo). Agregado el 27/08/2026 junto con el de negro. Falta la foto.</t>
  </si>
  <si>
    <t>Envio a domicilio</t>
  </si>
  <si>
    <t>si</t>
  </si>
  <si>
    <t>100 Flyers A4</t>
  </si>
  <si>
    <t>Flyers A4. inkjet.</t>
  </si>
  <si>
    <t>Desarrollo de troquel a medida digital. Medida Maxima 48x68cm</t>
  </si>
  <si>
    <t>Etiquetas en rollo. No en rollo continuo</t>
  </si>
  <si>
    <t>Impresión de fotos A5</t>
  </si>
  <si>
    <t xml:space="preserve">Volantes A5 x100 unidades inkjet simple faz 106 gr </t>
  </si>
  <si>
    <t>Escaneado de planos en gran formato, por metro lineal. Escaneo de  A3</t>
  </si>
  <si>
    <t>a3</t>
  </si>
  <si>
    <t xml:space="preserve">Carteles de precios y ofertas: impresión color más plastificado. </t>
  </si>
  <si>
    <t>Carta o menú plastificado A4</t>
  </si>
  <si>
    <t>Exhibidores de cartón. Requiere troquel y armado. Precio a definir</t>
  </si>
  <si>
    <t xml:space="preserve">Impresión urgente. </t>
  </si>
  <si>
    <t>Estampitas y recordatorios. Se imprimen en ilustración mate de 300 gr u opalina 250 gr Precio a definir dependiendo el tamaño.</t>
  </si>
  <si>
    <t>Marco para fotos y photocall en  vinilo impreso y montado en plastico corrugado.</t>
  </si>
  <si>
    <t>Souvenirs personalizados. Precio a definir</t>
  </si>
  <si>
    <t>Impresión de fotos. Se puede hacer en ilustración mate 250/300 g u opalina. Precio a definir por medida.</t>
  </si>
  <si>
    <t>Volantes A5 (15x21 cm). En lista solo está el formato 10x15 cm. Precio a definir.</t>
  </si>
  <si>
    <t>Díptico: hoja impresa y plegada al medio. Precio a definir (impresión + plegado).</t>
  </si>
  <si>
    <t>Tríptico: hoja impresa y plegada en tres. Precio a definir (impresión + plegado).</t>
  </si>
  <si>
    <t>Manuales e instructivos. Se cotiza como apunte (impresión + anillado) según cantidad de páginas y tirada. Precio a definir cerrado.</t>
  </si>
  <si>
    <t>Afiches. Se pueden hacer en plotter o láser según medida y papel. Precio a definir por formato.</t>
  </si>
  <si>
    <t>Lona mesh (calada, para viento). No está en lista. Precio a definir.</t>
  </si>
  <si>
    <t>Vinilo de corte (sin impresión, letras y formas cortadas). Precio a definir.</t>
  </si>
  <si>
    <t>Vinilo esmerilado para vidrios. Precio a definir.</t>
  </si>
  <si>
    <t>Cartel en chapa. Precio a definir (se terceriza el soporte).</t>
  </si>
  <si>
    <t>Cartel en acrílico. Precio a definir (se terceriza el soporte).</t>
  </si>
  <si>
    <t>Ploteo vehicular. El vinilo se cotiza por m2, pero la colocación sobre el vehículo Precio a definir.</t>
  </si>
  <si>
    <t>Etiquetas en rollo (para aplicadora). No las hacemos en rollo hoy: Precio a definir o confirmar que no se hace.</t>
  </si>
  <si>
    <t>Etiquetas de garantía void (se destruyen al despegarlas). Precio a definir.</t>
  </si>
  <si>
    <t>Cajas para delivery. Precio a definir.</t>
  </si>
  <si>
    <t>Cajas para pancho y hamburguesa. Precio a definir.</t>
  </si>
  <si>
    <t>Cajas para pizza. Precio a definir.</t>
  </si>
  <si>
    <t>Bolsas de papel impresas. Precio a definir.</t>
  </si>
  <si>
    <t>Fajas y precintos de seguridad. Precio a definir.</t>
  </si>
  <si>
    <t>Estuches y blísters. Precio a definir.</t>
  </si>
  <si>
    <t>Desarrollo de troquel a medida. Precio a definir.</t>
  </si>
  <si>
    <t>UV sectorizado (barniz brillante solo en partes). Precio a definir.</t>
  </si>
  <si>
    <t>Plegado. Cuando es parte de un armado de revista ya está incluido en los $2.000. Suelto: Precio a definir.</t>
  </si>
  <si>
    <t>Va incluido en el armado de revistas; suelto Precio a definir</t>
  </si>
  <si>
    <t>Hot stamping (foil metalizado en caliente). Precio a definir.</t>
  </si>
  <si>
    <t>Sello automático 38x14 mm. Precio a definir o confirmar que no se hace.</t>
  </si>
  <si>
    <t>Sello automático 47x18 mm. Precio a definir.</t>
  </si>
  <si>
    <t>Sello automático 58x22 mm. Precio a definir.</t>
  </si>
  <si>
    <t>Sello redondo. Precio a definir.</t>
  </si>
  <si>
    <t>Sello fechador. Precio a definir.</t>
  </si>
  <si>
    <t>Sello de madera. Precio a definir.</t>
  </si>
  <si>
    <t>Repuesto de almohadilla y entintado de sellos. Precio a definir.</t>
  </si>
  <si>
    <t>Tazas sublimadas. Precio a definir.</t>
  </si>
  <si>
    <t>Tazas mágicas. Precio a definir.</t>
  </si>
  <si>
    <t>Remeras estampadas en DTF. Precio a definir.</t>
  </si>
  <si>
    <t>Remeras sublimadas. Precio a definir.</t>
  </si>
  <si>
    <t>Buzos estampados. Precio a definir.</t>
  </si>
  <si>
    <t>Gorras personalizadas. Precio a definir.</t>
  </si>
  <si>
    <t>Mousepads personalizados. Precio a definir.</t>
  </si>
  <si>
    <t>Llaveros acrílicos. Precio a definir.</t>
  </si>
  <si>
    <t>Botellas y vasos térmicos. Precio a definir.</t>
  </si>
  <si>
    <t>Agendas personalizadas. Precio a definir.</t>
  </si>
  <si>
    <t>Almanaques de pared. Precio a definir.</t>
  </si>
  <si>
    <t>Calendarios de escritorio. Precio a definir.</t>
  </si>
  <si>
    <t>Lanyards y portacredenciales. Precio a definir.</t>
  </si>
  <si>
    <t>Pins y prendedores. Precio a definir.</t>
  </si>
  <si>
    <t>Rompecabezas personalizado. Precio a definir.</t>
  </si>
  <si>
    <t>Invitaciones de casamiento. Se hacen sobre la base de tarjetas en ilustración 300 g o papeles especiales (kraft, vegetal, opalina). Precio a definir por formato.</t>
  </si>
  <si>
    <t>Invitaciones de 15 años. Mismo criterio que las de casamiento. Precio a definir.</t>
  </si>
  <si>
    <t>Invitaciones infantiles. Precio a definir.</t>
  </si>
  <si>
    <t>Banderines y guirnaldas. Precio a definir.</t>
  </si>
  <si>
    <t>Toppers para torta. Precio a definir.</t>
  </si>
  <si>
    <t>Kit de fiesta impreso. Precio a definir.</t>
  </si>
  <si>
    <t>Números de mesa. Se hacen en corrugado, PVC o cartón montado; Precio a definir por formato.</t>
  </si>
  <si>
    <t>Menú QR con display. Precio a definir del display; el QR impreso y plastificado sí se hace.</t>
  </si>
  <si>
    <t>Dípticos depende del tipo de impresión. Precio a definir</t>
  </si>
  <si>
    <t>Trípticos depende del tipo de impresión. Precio a definir</t>
  </si>
  <si>
    <t>Gigantografía en lona o vinilo. Ancho máximo 1,52 m en lona y 1,48 m en vinilo; más grande va con empalme. Depende del tipo de impresión. Precio a definir</t>
  </si>
  <si>
    <t>Etiquetas con código de barras o QR. Se imprimen como etiqueta común; el precio depende de la medida y si hay numeración variable. Precio a definir. Datos necesarios medida y tipo de soporte donde se imprime</t>
  </si>
  <si>
    <t>Cajas troqueladas personalizadas. Requiere desarrollo de troquel digital. Precio a definir.</t>
  </si>
  <si>
    <t>Señalética y punto de venta en pvc</t>
  </si>
  <si>
    <t>Troquelado o puntillado</t>
  </si>
  <si>
    <t>Impresión de planos lineal</t>
  </si>
  <si>
    <t>Impresión blanco y negro A3 tipo fotocopia</t>
  </si>
  <si>
    <t>Impresión digital. Tamaños personalizado</t>
  </si>
  <si>
    <t xml:space="preserve">Impresión de fotos 9 fotos de 10x15 cm </t>
  </si>
  <si>
    <t>Impresión de fotos. Se puede hacer en ilustración mate 250/300 g u opalina. No incluye corte.</t>
  </si>
  <si>
    <t>ID</t>
  </si>
  <si>
    <t>Sinónimos (cómo lo pide el cliente)</t>
  </si>
  <si>
    <t>Preguntar antes de cotizar</t>
  </si>
  <si>
    <t>Mínimo</t>
  </si>
  <si>
    <t>Múltiplo</t>
  </si>
  <si>
    <t>Plazo</t>
  </si>
  <si>
    <t>Archivo que manda el cliente</t>
  </si>
  <si>
    <t>Respuesta corta para WhatsApp</t>
  </si>
  <si>
    <t>Precio actualizado</t>
  </si>
  <si>
    <t>No confundir con</t>
  </si>
  <si>
    <t>250-STICKERS-3X3-CM</t>
  </si>
  <si>
    <t>stickers, calcos, pegatinas, autoadhesivos, calcomanias</t>
  </si>
  <si>
    <t>cantidad; medida del sticker; archivo</t>
  </si>
  <si>
    <t>250</t>
  </si>
  <si>
    <t>48 a 72 hs</t>
  </si>
  <si>
    <t>PDF o JPG a 300 dpi, en el tamaño final. Si lleva corte al borde, 3 mm de demasía. Textos en curvas.</t>
  </si>
  <si>
    <t>250 stickers 3x3 cm: $6.600. Listo en 48 a 72 hs.</t>
  </si>
  <si>
    <t>2026-08-27</t>
  </si>
  <si>
    <t>250-ETIQUETAS-PARA-FRASCOS-6X3-CM</t>
  </si>
  <si>
    <t>etiquetas, stickers, calcos, autoadhesivos</t>
  </si>
  <si>
    <t>250 etiquetas para frascos 6x3 cm: $11.000. Listo en 48 a 72 hs.</t>
  </si>
  <si>
    <t>100-STICKERS-5X5-CM</t>
  </si>
  <si>
    <t>100</t>
  </si>
  <si>
    <t>100 stickers 5x5 cm: $6.600. Listo en 48 a 72 hs.</t>
  </si>
  <si>
    <t>100-STICKERS-REDONDOS-DE-5-CM-5X5-</t>
  </si>
  <si>
    <t>100 stickers redondos de 5 cm: $6.600. Listo en 48 a 72 hs.</t>
  </si>
  <si>
    <t>100-STICKERS-EN-OPP-BRILLO-5X5-CM</t>
  </si>
  <si>
    <t>100 stickers en OPP brillo 5x5 cm: $8.400. Listo en 48 a 72 hs.</t>
  </si>
  <si>
    <t>100-STICKERS-HOLOGRAFICOS-5X5-CM</t>
  </si>
  <si>
    <t>100 stickers holográficos 5x5 cm: $9.000. Listo en 48 a 72 hs.</t>
  </si>
  <si>
    <t>250-STICKERS-5X5-CM</t>
  </si>
  <si>
    <t>250 stickers 5x5 cm: $15.400. Listo en 48 a 72 hs.</t>
  </si>
  <si>
    <t>250-STICKERS-REDONDOS-DE-5-CM-5X5-</t>
  </si>
  <si>
    <t>250 stickers redondos de 5 cm: $15.400. Listo en 48 a 72 hs.</t>
  </si>
  <si>
    <t>500-STICKERS-5X5-CM</t>
  </si>
  <si>
    <t>500</t>
  </si>
  <si>
    <t>500 stickers 5x5 cm: $26.000. Listo en 48 a 72 hs.</t>
  </si>
  <si>
    <t>100-ETIQUETAS-9X5-CM</t>
  </si>
  <si>
    <t>100 etiquetas 9x5 cm: $11.000. Listo en 48 a 72 hs.</t>
  </si>
  <si>
    <t>100-ETIQUETAS-EN-OPP-BRILLO-9X5-CM</t>
  </si>
  <si>
    <t>100 etiquetas en OPP brillo 9x5 cm: $14.000. Listo en 48 a 72 hs.</t>
  </si>
  <si>
    <t>100-STICKERS-7X7-CM</t>
  </si>
  <si>
    <t>100 stickers 7x7 cm: $13.200. Listo en 48 a 72 hs.</t>
  </si>
  <si>
    <t>100-STICKERS-EN-OPP-BRILLO-7X7-CM</t>
  </si>
  <si>
    <t>100 stickers en OPP brillo 7x7 cm: $16.800. Listo en 48 a 72 hs.</t>
  </si>
  <si>
    <t>100-STICKERS-HOLOGRAFICOS-7X7-CM</t>
  </si>
  <si>
    <t>100 stickers holográficos 7x7 cm: $18.000. Listo en 48 a 72 hs.</t>
  </si>
  <si>
    <t>250-STICKERS-7X7-CM</t>
  </si>
  <si>
    <t>250 stickers 7x7 cm: $28.000. Listo en 48 a 72 hs.</t>
  </si>
  <si>
    <t>100-STICKERS-10X10-CM</t>
  </si>
  <si>
    <t>100 stickers 10x10 cm: $26.000. Listo en 48 a 72 hs.</t>
  </si>
  <si>
    <t>100-STICKERS-EN-OPP-BRILLO-10X10-C</t>
  </si>
  <si>
    <t>100 stickers en OPP brillo 10x10 cm: $32.800. Listo en 48 a 72 hs.</t>
  </si>
  <si>
    <t>100-STICKERS-HOLOGRAFICOS-10X10-CM</t>
  </si>
  <si>
    <t>100 stickers holográficos 10x10 cm: $35.100. Listo en 48 a 72 hs.</t>
  </si>
  <si>
    <t>50-ETIQUETAS-14X10-CM</t>
  </si>
  <si>
    <t>50</t>
  </si>
  <si>
    <t>50 etiquetas 14x10 cm: $19.800. Listo en 48 a 72 hs.</t>
  </si>
  <si>
    <t>100-ETIQUETAS-14X10-CM</t>
  </si>
  <si>
    <t>100 etiquetas 14x10 cm: $34.000. Listo en 48 a 72 hs.</t>
  </si>
  <si>
    <t>100-STICKERS-EN-VINILO-UV-5X5-CM</t>
  </si>
  <si>
    <t>ancho en cm; alto en cm; cantidad</t>
  </si>
  <si>
    <t>0,5 m2</t>
  </si>
  <si>
    <t>Se cobra por m2. Pasame ancho y alto y te lo calculo. El mínimo es medio m2, $14000.</t>
  </si>
  <si>
    <t>250-STICKERS-EN-VINILO-UV-5X5-CM</t>
  </si>
  <si>
    <t>Se cobra por m2. Pasame ancho y alto y te lo calculo. El mínimo es medio m2, $17500.</t>
  </si>
  <si>
    <t>100-STICKERS-EN-VINILO-UV-7X7-CM</t>
  </si>
  <si>
    <t>100-STICKERS-EN-VINILO-UV-10X10-CM</t>
  </si>
  <si>
    <t>Se cobra por m2. Pasame ancho y alto y te lo calculo. El mínimo es medio m2, $28000.</t>
  </si>
  <si>
    <t>50-ETIQUETAS-EN-VINILO-UV-14X10-CM</t>
  </si>
  <si>
    <t>Se cobra por m2. Pasame ancho y alto y te lo calculo. El mínimo es medio m2, $19600.</t>
  </si>
  <si>
    <t>100-ETIQUETAS-EN-VINILO-UV-14X10-C</t>
  </si>
  <si>
    <t>Se cobra por m2. Pasame ancho y alto y te lo calculo. El mínimo es medio m2, $39200.</t>
  </si>
  <si>
    <t>CARTEL-ADHESIVO-50X70-CM</t>
  </si>
  <si>
    <t>cartel, letrero, señal, poster grande</t>
  </si>
  <si>
    <t>PDF a escala 1:1 (o 1:10 avisando), 100 a 150 dpi al tamaño final. Textos en curvas. Avisar si lleva dobladillo y ojalillos.</t>
  </si>
  <si>
    <t>Se cobra por m2. Pasame ancho y alto y te lo calculo. El mínimo es medio m2, $10500.</t>
  </si>
  <si>
    <t>CARTEL-RIGIDO-50X70-CM</t>
  </si>
  <si>
    <t>Se cobra por m2. Pasame ancho y alto y te lo calculo. El mínimo es medio m2, $15000.</t>
  </si>
  <si>
    <t>CARTEL-ADHESIVO-70X100-CM</t>
  </si>
  <si>
    <t>Se cobra por m2. Pasame ancho y alto y te lo calculo. El mínimo es medio m2, $14700.</t>
  </si>
  <si>
    <t>CARTEL-RIGIDO-70X100-CM</t>
  </si>
  <si>
    <t>Se cobra por m2. Pasame ancho y alto y te lo calculo. El mínimo es medio m2, $21000.</t>
  </si>
  <si>
    <t>VINILO-PARA-VIDRIERA-1X1-M</t>
  </si>
  <si>
    <t>vinilo, adhesivo, plotter de corte, calco grande</t>
  </si>
  <si>
    <t>CARTEL-RIGIDO-1X1-M</t>
  </si>
  <si>
    <t>Se cobra por m2. Pasame ancho y alto y te lo calculo. El mínimo es medio m2, $30000.</t>
  </si>
  <si>
    <t>CARTEL-RIGIDO-1-5X1-M</t>
  </si>
  <si>
    <t>Se cobra por m2. Pasame ancho y alto y te lo calculo. El mínimo es medio m2, $45000.</t>
  </si>
  <si>
    <t>VINILO-PARA-VIDRIERA-1X2-M</t>
  </si>
  <si>
    <t>Se cobra por m2. Pasame ancho y alto y te lo calculo. El mínimo es medio m2, $42000.</t>
  </si>
  <si>
    <t>BANNER-DE-LONA-1X1-M</t>
  </si>
  <si>
    <t>lona, banner, pancarta, cartel de lona, gigantografia</t>
  </si>
  <si>
    <t>Se cobra por m2. Pasame ancho y alto y te lo calculo. El mínimo es medio m2, $16000.</t>
  </si>
  <si>
    <t>BANNER-DE-LONA-1-5X0-7-M</t>
  </si>
  <si>
    <t>Se cobra por m2. Pasame ancho y alto y te lo calculo. El mínimo es medio m2, $16800.</t>
  </si>
  <si>
    <t>BANNER-DE-LONA-2X1-M</t>
  </si>
  <si>
    <t>Se cobra por m2. Pasame ancho y alto y te lo calculo. El mínimo es medio m2, $32000.</t>
  </si>
  <si>
    <t>BANNER-DE-LONA-3X1-M</t>
  </si>
  <si>
    <t>Se cobra por m2. Pasame ancho y alto y te lo calculo. El mínimo es medio m2, $48000.</t>
  </si>
  <si>
    <t>BANNER-DE-LONA-4X1-M</t>
  </si>
  <si>
    <t>Se cobra por m2. Pasame ancho y alto y te lo calculo. El mínimo es medio m2, $64000.</t>
  </si>
  <si>
    <t>100-TARJETAS-9X5-CM-SIMPLE-FAZ</t>
  </si>
  <si>
    <t>tarjetas personales, tarjetas de presentacion, tarjetas comerciales</t>
  </si>
  <si>
    <t>archivo</t>
  </si>
  <si>
    <t>100 tarjetas 9x5 cm simple faz: $13.200. Listo en 48 a 72 hs.</t>
  </si>
  <si>
    <t>tarjetas plásticas o PVC: no las hacemos</t>
  </si>
  <si>
    <t>100-TARJETAS-9X5-CM-SIMPLE-FAZ-ENC</t>
  </si>
  <si>
    <t>100 tarjetas 9x5 cm simple faz encapsuladas: $16.500. Listo en 48 a 72 hs.</t>
  </si>
  <si>
    <t>100-TARJETAS-9X5-CM-DOBLE-FAZ</t>
  </si>
  <si>
    <t>100 tarjetas 9x5 cm doble faz: $16.500. Listo en 48 a 72 hs.</t>
  </si>
  <si>
    <t>100-TARJETAS-9X5-CM-DOBLE-FAZ-ENCA</t>
  </si>
  <si>
    <t>100 tarjetas 9x5 cm doble faz encapsuladas: $18.700. Listo en 48 a 72 hs.</t>
  </si>
  <si>
    <t>100-TARJETAS-9X5-CM-EN-PAPEL-KRAFT</t>
  </si>
  <si>
    <t>100 tarjetas 9x5 cm en papel kraft 280 g simple faz: $17.600. Listo en 48 a 72 hs.</t>
  </si>
  <si>
    <t>100-TARJETAS-9X5-CM-EN-PAPEL-KRAFT-2</t>
  </si>
  <si>
    <t>100 tarjetas 9x5 cm en papel kraft 280 g doble faz: $24.200. Listo en 48 a 72 hs.</t>
  </si>
  <si>
    <t>500-TARJETAS-9X5-CM-SIMPLE-FAZ</t>
  </si>
  <si>
    <t>500 tarjetas 9x5 cm simple faz: $28.000. Listo en 48 a 72 hs.</t>
  </si>
  <si>
    <t>500-TARJETAS-9X5-CM-SIMPLE-FAZ-ENC</t>
  </si>
  <si>
    <t>500 tarjetas 9x5 cm simple faz encapsuladas: $38.000. Listo en 48 a 72 hs.</t>
  </si>
  <si>
    <t>500-TARJETAS-9X5-CM-DOBLE-FAZ</t>
  </si>
  <si>
    <t>500 tarjetas 9x5 cm doble faz: $38.000. Listo en 48 a 72 hs.</t>
  </si>
  <si>
    <t>500-TARJETAS-9X5-CM-DOBLE-FAZ-ENCA</t>
  </si>
  <si>
    <t>500 tarjetas 9x5 cm doble faz encapsuladas: $45.000. Listo en 48 a 72 hs.</t>
  </si>
  <si>
    <t>1000-TARJETAS-9X5-CM-SIMPLE-FAZ</t>
  </si>
  <si>
    <t>1000</t>
  </si>
  <si>
    <t>1000 tarjetas 9x5 cm simple faz: $42.000. Listo en 48 a 72 hs.</t>
  </si>
  <si>
    <t>1000-TARJETAS-9X5-CM-SIMPLE-FAZ-EN</t>
  </si>
  <si>
    <t>1000 tarjetas 9x5 cm simple faz encapsuladas: $54.000. Listo en 48 a 72 hs.</t>
  </si>
  <si>
    <t>1000-TARJETAS-9X5-CM-DOBLE-FAZ</t>
  </si>
  <si>
    <t>1000 tarjetas 9x5 cm doble faz: $54.000. Listo en 48 a 72 hs.</t>
  </si>
  <si>
    <t>1000-TARJETAS-9X5-CM-DOBLE-FAZ-ENC</t>
  </si>
  <si>
    <t>1000 tarjetas 9x5 cm doble faz encapsuladas: $59.000. Listo en 48 a 72 hs.</t>
  </si>
  <si>
    <t>HOJAS-MEMBRETADAS-A4</t>
  </si>
  <si>
    <t>hojas membretadas, papel con logo, membrete</t>
  </si>
  <si>
    <t>Hojas membretadas A4: $35.000. Listo en 48 a 72 hs.</t>
  </si>
  <si>
    <t>SOBRES-IMPRESOS-21X11-CM</t>
  </si>
  <si>
    <t>sobres, sobres membretados, sobres con logo</t>
  </si>
  <si>
    <t>Sobres impresos: $25.000. Listo en 48 a 72 hs.</t>
  </si>
  <si>
    <t>TALONARIOS-DE-FACTURA-O-REMITO-A5</t>
  </si>
  <si>
    <t>10</t>
  </si>
  <si>
    <t>Talonarios de factura o remito: $54.000. Listo en 48 a 72 hs.</t>
  </si>
  <si>
    <t>NOTAS-DE-PEDIDO-Y-COMANDAS-A5</t>
  </si>
  <si>
    <t>Notas de pedido y comandas: $54.000. Listo en 48 a 72 hs.</t>
  </si>
  <si>
    <t>RECETARIOS-EN-NEGRO-A5-O-A6</t>
  </si>
  <si>
    <t>recetarios, recetas medicas, blocks de receta</t>
  </si>
  <si>
    <t>cantidad; archivo</t>
  </si>
  <si>
    <t>1</t>
  </si>
  <si>
    <t>Recetarios en negro: $4.000. Listo en 48 a 72 hs.</t>
  </si>
  <si>
    <t>RECETARIOS-EN-COLOR-A5-O-A6</t>
  </si>
  <si>
    <t>Recetarios en color: $4.500. Listo en 48 a 72 hs.</t>
  </si>
  <si>
    <t>CARPETAS-INSTITUCIONALES-A4-CERRAD</t>
  </si>
  <si>
    <t>carpetas, carpetas institucionales, folders</t>
  </si>
  <si>
    <t>Carpetas institucionales: $2.600. Listo en 48 a 72 hs.</t>
  </si>
  <si>
    <t>ANOTADORES-PERSONALIZADOS-10X15-CM</t>
  </si>
  <si>
    <t>anotadores, tacos, blocks, libretas</t>
  </si>
  <si>
    <t>Anotadores personalizados: $4.000. Listo en 48 a 72 hs.</t>
  </si>
  <si>
    <t>CREDENCIALES-Y-TARJETAS-PLASTICAS-</t>
  </si>
  <si>
    <t>tarjetas plasticas, tarjetas pvc, credenciales rigidas</t>
  </si>
  <si>
    <t>cantidad; medida</t>
  </si>
  <si>
    <t>Eso no lo hacemos. No hacemos credenciales ni tarjetas plásticas. Alternativa: tarjetas en ilustración 300 g encapsuladas, o plastificado c</t>
  </si>
  <si>
    <t>IMPRESION-COLOR-A4-TINTA</t>
  </si>
  <si>
    <t>imprimir, impresiones, copias, fotocopias</t>
  </si>
  <si>
    <t>En el acto</t>
  </si>
  <si>
    <t>PDF, Word o JPG. Si es para imprimir tal cual, mejor PDF.</t>
  </si>
  <si>
    <t>Impresión color A4 tinta: $400. Te lo hacemos en el acto.</t>
  </si>
  <si>
    <t>IMPRESION-COLOR-A3-LASER</t>
  </si>
  <si>
    <t>Impresión color A3 laser: $1.200. Te lo hacemos en el acto.</t>
  </si>
  <si>
    <t>IMPRESION-BLANCO-Y-NEGRO-A4</t>
  </si>
  <si>
    <t>imprimir, impresiones, impresion de archivos</t>
  </si>
  <si>
    <t>Impresión blanco y negro A4: $100. Te lo hacemos en el acto.</t>
  </si>
  <si>
    <t>IMPRESION-BLANCO-Y-NEGRO-A3</t>
  </si>
  <si>
    <t>Impresión blanco y negro A3: $600. Te lo hacemos en el acto.</t>
  </si>
  <si>
    <t>IMPRESION-EN-PAPEL-ILUSTRACION-A4</t>
  </si>
  <si>
    <t>Impresión en papel ilustración: $800. Te lo hacemos en el acto.</t>
  </si>
  <si>
    <t>IMPRESION-EN-OPALINA-A4</t>
  </si>
  <si>
    <t>Impresión en opalina: $900. Te lo hacemos en el acto.</t>
  </si>
  <si>
    <t>APUNTES-Y-MATERIAL-DE-ESTUDIO-A4</t>
  </si>
  <si>
    <t>apuntes, fotocopias de apuntes, material de estudio, cuadernillo</t>
  </si>
  <si>
    <t>Apuntes y material de estudio: $12.000. Listo en 48 a 72 hs.</t>
  </si>
  <si>
    <t>IMPRESION-DE-PLANOS-LINEAL-M2</t>
  </si>
  <si>
    <t>planos, planos de obra, autocad, plotteo, ploteo de planos</t>
  </si>
  <si>
    <t>Se cobra por m2. Pasame ancho y alto y te lo calculo. El mínimo es medio m2, $7000.</t>
  </si>
  <si>
    <t>FOTOCOPIAS-NO</t>
  </si>
  <si>
    <t>fotocopias, copias, imprimir</t>
  </si>
  <si>
    <t>No hacemos fotocopias. Si nos mandás el archivo lo imprimimos: A4 blanco y negro $100 la hoja, y baja a $70 desde 11 hojas.</t>
  </si>
  <si>
    <t>ESCANEO-Y-DIGITALIZACION-A-MEDIDA</t>
  </si>
  <si>
    <t>escanear, digitalizar, escaneo de planos</t>
  </si>
  <si>
    <t>A confirmar</t>
  </si>
  <si>
    <t>Escaneo y digitalización: $8.000. Listo en a confirmar.</t>
  </si>
  <si>
    <t>IMPRESION-DE-FOTOS-A5</t>
  </si>
  <si>
    <t>Sí lo hacemos, pero el precio te lo confirmo en un rato: necesito pasarlo con Pedro.</t>
  </si>
  <si>
    <t>VOLANTES-A5-X100-UNIDADES-INKJET-S</t>
  </si>
  <si>
    <t>volantes, flyers, panfletos, folletos chicos</t>
  </si>
  <si>
    <t>VOLANTES-A6-10X15-CM</t>
  </si>
  <si>
    <t>Volantes A6: $12.000. Listo en 48 a 72 hs.</t>
  </si>
  <si>
    <t>100-FLYERS-A4</t>
  </si>
  <si>
    <t>DIPTICOS-DEPENDE-DEL-TIPO-DE-IMPRE</t>
  </si>
  <si>
    <t>TRIPTICOS-DEPENDE-DEL-TIPO-DE-IMPR</t>
  </si>
  <si>
    <t>CATALOGOS-ABROCHADOS-A4</t>
  </si>
  <si>
    <t>REVISTAS-A4</t>
  </si>
  <si>
    <t>LIBROS-CON-ENCUADERNACION-FRESADA-</t>
  </si>
  <si>
    <t>encuadernacion, anillado, empastado, tesis</t>
  </si>
  <si>
    <t>24 a 72 hs</t>
  </si>
  <si>
    <t>Libros con encuadernación fresada: $7.000. Listo en 24 a 72 hs.</t>
  </si>
  <si>
    <t>MANUALES-E-INSTRUCTIVOS-A4</t>
  </si>
  <si>
    <t>POSTERS-A3-Y-A2</t>
  </si>
  <si>
    <t>posters, afiches, laminas</t>
  </si>
  <si>
    <t>Posters A3 y A2: $1.600. Listo en 48 a 72 hs.</t>
  </si>
  <si>
    <t>AFICHES-A-MEDIDA</t>
  </si>
  <si>
    <t>afiches, posters, carteles de papel</t>
  </si>
  <si>
    <t>LONA-BANNER-IMPRESA-A-MEDIDA</t>
  </si>
  <si>
    <t>Se cobra por m2. Pasame ancho y alto y te lo calculo. El mínimo es medio m2, $8000.</t>
  </si>
  <si>
    <t>LONA-MESH-NO</t>
  </si>
  <si>
    <t>Lona mesh no trabajamos. Sí hacemos lona front brillo y microperforado, los dos por m2.</t>
  </si>
  <si>
    <t>VINILO-ADHESIVO-IMPRESO-A-MEDIDA</t>
  </si>
  <si>
    <t>VINILO-DE-CORTE-NO</t>
  </si>
  <si>
    <t>Vinilo de corte no hacemos. Sí hacemos vinilo impreso, que se cotiza por m2.</t>
  </si>
  <si>
    <t>no es lo mismo que vinilo impreso</t>
  </si>
  <si>
    <t>VINILO-MICROPERFORADO-PARA-VIDRIER</t>
  </si>
  <si>
    <t>Se cobra por m2. Pasame ancho y alto y te lo calculo. El mínimo es medio m2, $9000.</t>
  </si>
  <si>
    <t>VINILO-ESMERILADO-NO</t>
  </si>
  <si>
    <t>Esmerilado no trabajamos. Para vidriera sí tenemos vinilo impreso y microperforado.</t>
  </si>
  <si>
    <t>BANNER-ROLL-UP-85X200-CM-0-85X2-00</t>
  </si>
  <si>
    <t>banner, lona, pancarta, roll up, portabanner, araña</t>
  </si>
  <si>
    <t>Banner roll-up 85x200 cm: $38.000. Listo en 48 a 72 hs.</t>
  </si>
  <si>
    <t>PORTA-BANNER-TIPO-X-60X160-CM-0-90</t>
  </si>
  <si>
    <t>Porta banner tipo X 60x160 cm: $32.000. Listo en 48 a 72 hs.</t>
  </si>
  <si>
    <t>CARTEL-EN-PVC-ESPUMADO-3-MM-A-MEDI</t>
  </si>
  <si>
    <t>Se cobra por m2. Pasame ancho y alto y te lo calculo. El mínimo es medio m2, $23000.</t>
  </si>
  <si>
    <t>CARTEL-EN-CHAPA-NO</t>
  </si>
  <si>
    <t>En chapa no hacemos. Sí hacemos cartel en PVC con vinilo y en plástico corrugado.</t>
  </si>
  <si>
    <t>CARTEL-EN-ACRILICO-NO</t>
  </si>
  <si>
    <t>En acrílico no hacemos. Sí hacemos cartel en PVC con vinilo y en plástico corrugado.</t>
  </si>
  <si>
    <t>PASACALLES-NO</t>
  </si>
  <si>
    <t>Pasacalles no hacemos. Sí hacemos lona impresa con dobladillo y ojalillos, hasta 1,52 m de ancho.</t>
  </si>
  <si>
    <t>BACKDROP-Y-PHOTOCALL-NO</t>
  </si>
  <si>
    <t>Backdrop no hacemos. Sí te imprimimos la lona; la estructura la conseguís aparte.</t>
  </si>
  <si>
    <t>GIGANTOGRAFIAS-A-MEDIDA</t>
  </si>
  <si>
    <t>Se cobra por m2. Pasame ancho y alto y te lo calculo. El mínimo es medio m2, .</t>
  </si>
  <si>
    <t>PLOTEO-VEHICULAR-NO</t>
  </si>
  <si>
    <t>La colocación sobre el vehículo no la hacemos. Sí te imprimimos el vinilo si tenés quien lo pegue.</t>
  </si>
  <si>
    <t>STICKERS-TROQUELADOS-5X5-CM</t>
  </si>
  <si>
    <t>Stickers troquelados: $6.600. Listo en 48 a 72 hs.</t>
  </si>
  <si>
    <t>PLANCHAS-DE-STICKERS-A4</t>
  </si>
  <si>
    <t>Planchas de stickers A4: $1.900. Listo en 48 a 72 hs.</t>
  </si>
  <si>
    <t>ETIQUETAS-EN-ROLLO-NO-EN-ROLLO-CON</t>
  </si>
  <si>
    <t>ETIQUETAS-PARA-FRASCOS-Y-BOTELLAS-</t>
  </si>
  <si>
    <t>Etiquetas para frascos y botellas: $11.000. Listo en 48 a 72 hs.</t>
  </si>
  <si>
    <t>ETIQUETAS-DE-GARANTIA-VOID-NO</t>
  </si>
  <si>
    <t>Void no trabajamos. Sí hacemos etiquetas en papel autoadhesivo y en vinilo.</t>
  </si>
  <si>
    <t>STICKERS-HOLOGRAFICOS-5X5-CM</t>
  </si>
  <si>
    <t>Stickers holográficos: $9.000. Listo en 48 a 72 hs.</t>
  </si>
  <si>
    <t>ETIQUETAS-CON-CODIGO-DE-BARRAS-O-Q</t>
  </si>
  <si>
    <t>CAJAS-TROQUELADAS-PERSONALIZADAS-S</t>
  </si>
  <si>
    <t>cajas, packaging, envases, cajas personalizadas</t>
  </si>
  <si>
    <t>CAJAS-PARA-DELIVERY-SI</t>
  </si>
  <si>
    <t>CAJAS-PARA-PANCHO-Y-HAMBURGUESA-SI</t>
  </si>
  <si>
    <t>CAJAS-PARA-PIZZA-SI</t>
  </si>
  <si>
    <t>BOLSAS-DE-PAPEL-IMPRESAS-NO</t>
  </si>
  <si>
    <t>bolsas, bolsas de papel, packaging</t>
  </si>
  <si>
    <t>Bolsas no hacemos. Sí hacemos etiquetas y stickers para pegarles a las bolsas.</t>
  </si>
  <si>
    <t>FAJAS-Y-PRECINTOS-DE-SEGURIDAD-NO</t>
  </si>
  <si>
    <t>Eso no lo hacemos.</t>
  </si>
  <si>
    <t>ESTUCHES-Y-BLISTERS-NO</t>
  </si>
  <si>
    <t>DESARROLLO-DE-TROQUEL-A-MEDIDA-DIG</t>
  </si>
  <si>
    <t>troquelado, corte con forma, troquel</t>
  </si>
  <si>
    <t>ANILLADO-PLASTICO-A4-U-OFICIO</t>
  </si>
  <si>
    <t>anillado, espiralado, espiral, encuadernado con anillo</t>
  </si>
  <si>
    <t>Anillado plástico: $2.400. Listo en 24 a 72 hs.</t>
  </si>
  <si>
    <t>ANILLADO-METALICO-WIRE-O-A4-O-A3</t>
  </si>
  <si>
    <t>Anillado metálico wire-o: $3.200. Listo en 24 a 72 hs.</t>
  </si>
  <si>
    <t>ENCUADERNACION-ABROCHADA-A-CABALLO</t>
  </si>
  <si>
    <t>Encuadernación abrochada a caballo: $2.000. Listo en 24 a 72 hs.</t>
  </si>
  <si>
    <t>ENCUADERNACION-FRESADA-A4</t>
  </si>
  <si>
    <t>Encuadernación fresada: $7.000. Listo en 24 a 72 hs.</t>
  </si>
  <si>
    <t>LAMINADO-MATE-A4</t>
  </si>
  <si>
    <t>laminado, plastificado, brillo, mate</t>
  </si>
  <si>
    <t>Laminado mate: $330. Listo en 24 a 72 hs.</t>
  </si>
  <si>
    <t>laminado no es plastificado rígido: el plastificado es más grueso</t>
  </si>
  <si>
    <t>LAMINADO-BRILLANTE-A4</t>
  </si>
  <si>
    <t>Laminado brillante: $330. Listo en 24 a 72 hs.</t>
  </si>
  <si>
    <t>UV-SECTORIZADO-NO</t>
  </si>
  <si>
    <t>UV sectorizado no hacemos. Sí hacemos laminado brillo o mate y encapsulado.</t>
  </si>
  <si>
    <t>PLASTIFICADO-DE-DOCUMENTOS-A4</t>
  </si>
  <si>
    <t>plastificado, laminado, credencial, carnet</t>
  </si>
  <si>
    <t>Plastificado de documentos: $2.200. Listo en 24 a 72 hs.</t>
  </si>
  <si>
    <t>TROQUELADO-Y-CORTE-A-MEDIDA-A-MEDI</t>
  </si>
  <si>
    <t>Troquelado y corte a medida: $50. Listo en 24 a 72 hs.</t>
  </si>
  <si>
    <t>PLEGADO-SI</t>
  </si>
  <si>
    <t>NUMERADO-CORRELATIVO-SI</t>
  </si>
  <si>
    <t>numerado, numeracion, correlativo</t>
  </si>
  <si>
    <t>Numerado correlativo: $5.000. Listo en 24 a 72 hs.</t>
  </si>
  <si>
    <t>COLOCACION-DE-OJALILLOS-SI</t>
  </si>
  <si>
    <t>ojales, ojalillos, arandelas</t>
  </si>
  <si>
    <t>Colocación de ojalillos: $1.000. Listo en 24 a 72 hs.</t>
  </si>
  <si>
    <t>PERFORADO-Y-MICROPERFORADO-SI</t>
  </si>
  <si>
    <t>perforado, agujeros, microperforado</t>
  </si>
  <si>
    <t>Perforado y microperforado: $4.000. Listo en 24 a 72 hs.</t>
  </si>
  <si>
    <t>HOT-STAMPING-NO</t>
  </si>
  <si>
    <t>Hot stamping no hacemos.</t>
  </si>
  <si>
    <t>SELLO-AUTOMATICO-38X14-MM-NO</t>
  </si>
  <si>
    <t>sellos, sello automatico, timbre</t>
  </si>
  <si>
    <t>SELLO-AUTOMATICO-47X18-MM-NO</t>
  </si>
  <si>
    <t>SELLO-AUTOMATICO-58X22-MM-NO</t>
  </si>
  <si>
    <t>SELLO-REDONDO-NO</t>
  </si>
  <si>
    <t>SELLO-FECHADOR-NO</t>
  </si>
  <si>
    <t>SELLO-DE-MADERA-NO</t>
  </si>
  <si>
    <t>REPUESTO-DE-ALMOHADILLA-Y-ENTINTAD</t>
  </si>
  <si>
    <t>TAZAS-SUBLIMADAS-NO</t>
  </si>
  <si>
    <t>tazas, tazas personalizadas, mugs</t>
  </si>
  <si>
    <t>TAZAS-MAGICAS-NO</t>
  </si>
  <si>
    <t>REMERAS-ESTAMPADAS-DTF-NO</t>
  </si>
  <si>
    <t>remeras, camisetas, estampado de remeras</t>
  </si>
  <si>
    <t>REMERAS-SUBLIMADAS-NO</t>
  </si>
  <si>
    <t>BUZOS-ESTAMPADOS-NO</t>
  </si>
  <si>
    <t>GORRAS-PERSONALIZADAS-NO</t>
  </si>
  <si>
    <t>gorras, gorros bordados</t>
  </si>
  <si>
    <t>MOUSEPADS-PERSONALIZADOS-NO</t>
  </si>
  <si>
    <t>LLAVEROS-ACRILICOS-NO</t>
  </si>
  <si>
    <t>BOTELLAS-Y-VASOS-TERMICOS-NO</t>
  </si>
  <si>
    <t>AGENDAS-PERSONALIZADAS-SI</t>
  </si>
  <si>
    <t>ALMANAQUES-DE-PARED-SI</t>
  </si>
  <si>
    <t>CALENDARIOS-DE-ESCRITORIO-SI</t>
  </si>
  <si>
    <t>IMANES-PERSONALIZADOS-SI</t>
  </si>
  <si>
    <t>imanes, imanes de heladera, magneticos</t>
  </si>
  <si>
    <t>Imanes personalizados: $8.500. Listo en a confirmar.</t>
  </si>
  <si>
    <t>LANYARDS-Y-PORTACREDENCIALES-NO</t>
  </si>
  <si>
    <t>credenciales, carnets, acreditaciones, escarapelas</t>
  </si>
  <si>
    <t>credenciales plásticas tipo PVC: no las hacemos</t>
  </si>
  <si>
    <t>PINS-Y-PRENDEDORES-NO</t>
  </si>
  <si>
    <t>ROMPECABEZAS-PERSONALIZADO-NO</t>
  </si>
  <si>
    <t>INVITACIONES-DE-CASAMIENTO-SI</t>
  </si>
  <si>
    <t>invitaciones, tarjetas de casamiento, participaciones</t>
  </si>
  <si>
    <t>INVITACIONES-DE-15-ANOS-SI</t>
  </si>
  <si>
    <t>INVITACIONES-INFANTILES-SI</t>
  </si>
  <si>
    <t>TARJETAS-DE-AGRADECIMIENTO-9X5-CM</t>
  </si>
  <si>
    <t>Tarjetas de agradecimiento: $13.200. Listo en a confirmar.</t>
  </si>
  <si>
    <t>SOUVENIRS-PERSONALIZADOS-A-MEDIDA</t>
  </si>
  <si>
    <t>BANDERINES-Y-GUIRNALDAS-A-MEDIDA</t>
  </si>
  <si>
    <t>TOPPERS-PARA-TORTA-A-MEDIDA</t>
  </si>
  <si>
    <t>opp, film, plastico, holografico, tornasolado</t>
  </si>
  <si>
    <t>KIT-DE-FIESTA-IMPRESO-A-MEDIDA</t>
  </si>
  <si>
    <t>CREDENCIALES-PARA-EVENTOS-9X13-CM</t>
  </si>
  <si>
    <t>Credenciales para eventos: $1.500. Listo en a confirmar.</t>
  </si>
  <si>
    <t>MARCO-PARA-FOTOS-Y-PHOTOCALL-A-MED</t>
  </si>
  <si>
    <t>Se cobra por m2. Pasame ancho y alto y te lo calculo. El mínimo es medio m2, $34000.</t>
  </si>
  <si>
    <t>ESTAMPITAS-Y-RECORDATORIOS-A-MEDID</t>
  </si>
  <si>
    <t>CARTELERIA-DE-SEGURIDAD-E-HIGIENE-</t>
  </si>
  <si>
    <t>Cartelería de seguridad e higiene: $10.500. Listo en 48 a 72 hs.</t>
  </si>
  <si>
    <t>SENALETICA-DE-BANOS-Y-ACCESOS-A3</t>
  </si>
  <si>
    <t>Señalética de baños y accesos: $10.500. Listo en a confirmar.</t>
  </si>
  <si>
    <t>NUMEROS-DE-MESA-SI</t>
  </si>
  <si>
    <t>CARTAS-Y-MENUS-PLASTIFICADOS-A4</t>
  </si>
  <si>
    <t>Cartas y menús plastificados: $2.600. Listo en 48 a 72 hs.</t>
  </si>
  <si>
    <t>MENU-QR-CON-DISPLAY-NO</t>
  </si>
  <si>
    <t>menu, carta, cartas de restaurante</t>
  </si>
  <si>
    <t>CARTELES-DE-PRECIOS-Y-OFERTAS-A3</t>
  </si>
  <si>
    <t>Carteles de precios y ofertas: $4.800. Listo en 48 a 72 hs.</t>
  </si>
  <si>
    <t>EXHIBIDORES-DE-CARTON-SI</t>
  </si>
  <si>
    <t>carton, montado en carton, encartonado</t>
  </si>
  <si>
    <t>IMPRESION-URGENTE-NO</t>
  </si>
  <si>
    <t>ENVIO-A-DOMICILIO-SI</t>
  </si>
  <si>
    <t>IMPRESION-DE-FOTOS-9-FOTOS-DE-10X1</t>
  </si>
  <si>
    <t>ID producto</t>
  </si>
  <si>
    <t>Precio unitario</t>
  </si>
  <si>
    <t>Inkjet obra 75 g, simple faz. Doble faz: 600/200/120/110.</t>
  </si>
  <si>
    <t>Inkjet obra 75 g, simple faz. Doble faz: 150/96/88/86/84.</t>
  </si>
  <si>
    <t>Mismo precio que impresión b/n A4.</t>
  </si>
  <si>
    <t>Sin laminar. Laminadas: 3000/2800/2600/2400/2300.</t>
  </si>
  <si>
    <t>Taco 10x15 cm en negro. En color: 4500/3800/3200/2800.</t>
  </si>
  <si>
    <t>Mínimo 5 unidades. Sale del taco 10x15 cm negro.</t>
  </si>
  <si>
    <t>Mínimo 5 unidades. Sale del taco 10x15 cm color.</t>
  </si>
  <si>
    <t>Impresión laminada y corte.</t>
  </si>
  <si>
    <t>Es el medio corte. Hay que sumarle la hoja: $900 el A4.</t>
  </si>
  <si>
    <t>No incluye la impresión.</t>
  </si>
  <si>
    <t>Dato</t>
  </si>
  <si>
    <t>Valor</t>
  </si>
  <si>
    <t>Estado</t>
  </si>
  <si>
    <t>SECCION</t>
  </si>
  <si>
    <t>ARS</t>
  </si>
  <si>
    <t>OK</t>
  </si>
  <si>
    <t>¿Los precios llevan IVA?</t>
  </si>
  <si>
    <t>Sí, IVA incluido</t>
  </si>
  <si>
    <t>Sale del encabezado de la hoja Productos.</t>
  </si>
  <si>
    <t>Fecha de los precios</t>
  </si>
  <si>
    <t>La columna 'Precio actualizado' lo dice fila por fila.</t>
  </si>
  <si>
    <t>Mínimo por trabajo cotizado por m2</t>
  </si>
  <si>
    <t>$4.000</t>
  </si>
  <si>
    <t>Tarifa de la hoja.</t>
  </si>
  <si>
    <t>Mínimo facturable en m2</t>
  </si>
  <si>
    <t>Redondeo del precio final</t>
  </si>
  <si>
    <t>Para arriba, a $100</t>
  </si>
  <si>
    <t>¿Se cotiza al gremio por este canal?</t>
  </si>
  <si>
    <t>Las categorías GREMIO son otra lista y no salen al público.</t>
  </si>
  <si>
    <t>Límites de produccion</t>
  </si>
  <si>
    <t>Ancho máximo de lona</t>
  </si>
  <si>
    <t>1,52 m</t>
  </si>
  <si>
    <t>Más ancho va con empalme: avisarlo antes de cotizar.</t>
  </si>
  <si>
    <t>Ancho máximo de vinilo</t>
  </si>
  <si>
    <t>1,48 m</t>
  </si>
  <si>
    <t>Más ancho va con empalme.</t>
  </si>
  <si>
    <t>Tamaño máximo de impresión en hoja</t>
  </si>
  <si>
    <t>A3+</t>
  </si>
  <si>
    <t>Atencion</t>
  </si>
  <si>
    <t>Dirección del local</t>
  </si>
  <si>
    <t>FALTA</t>
  </si>
  <si>
    <t>La va a pedir el cliente.</t>
  </si>
  <si>
    <t>Horarios de atención</t>
  </si>
  <si>
    <t>Teléfono de WhatsApp</t>
  </si>
  <si>
    <t>Instagram</t>
  </si>
  <si>
    <t>Tiempo de respuesta esperado</t>
  </si>
  <si>
    <t>Qué prometer cuando el bot deriva a Pedro.</t>
  </si>
  <si>
    <t>Pagos y entrega</t>
  </si>
  <si>
    <t>Formas de pago</t>
  </si>
  <si>
    <t>Efectivo, transferencia, tarjeta, cuotas: definir cuáles.</t>
  </si>
  <si>
    <t>¿Se pide seña?</t>
  </si>
  <si>
    <t>Y de cuánto, si aplica.</t>
  </si>
  <si>
    <t>¿Hay envío a domicilio?</t>
  </si>
  <si>
    <t>Zona de envío</t>
  </si>
  <si>
    <t>Plazo de entrega general</t>
  </si>
  <si>
    <t>Confirmado por Pedro el 27/08/2026.</t>
  </si>
  <si>
    <t>Recargo por urgente</t>
  </si>
  <si>
    <t>Está como producto en la lista pero sin definir.</t>
  </si>
  <si>
    <t>Que hace el bot</t>
  </si>
  <si>
    <t>Si Modo = fijo / hoja / unidad / pliego</t>
  </si>
  <si>
    <t>Cotiza directo con el precio de la columna PRECIO</t>
  </si>
  <si>
    <t>Si Modo = m2</t>
  </si>
  <si>
    <t>Pide ancho y alto, calcula m2 x tarifa, aplica mínimo y redondeo</t>
  </si>
  <si>
    <t>El PRECIO de esa fila es el mínimo facturable, no el precio final.</t>
  </si>
  <si>
    <t>Si Modo = consultar</t>
  </si>
  <si>
    <t>NO inventa precio. Dice que lo confirma y avisa a Pedro</t>
  </si>
  <si>
    <t>Es la regla más importante: 65 productos están así.</t>
  </si>
  <si>
    <t>Si Modo = no</t>
  </si>
  <si>
    <t>Dice que no se hace y ofrece la alternativa</t>
  </si>
  <si>
    <t>Si no encuentra el producto</t>
  </si>
  <si>
    <t>¿El bot puede cerrar un pedido?</t>
  </si>
  <si>
    <t>Mar del Plata</t>
  </si>
  <si>
    <t>Envío dentro de Mar del Plata. El precio es ESTIMATIVO: ronda los $3.000 y varía según la zona. Siempre confirmar con la dirección.</t>
  </si>
  <si>
    <t>Tarifa de Pedro, 27/08/2026</t>
  </si>
  <si>
    <t>dirección; zona</t>
  </si>
  <si>
    <t>Coordinar</t>
  </si>
  <si>
    <t>El envío dentro de Mar del Plata ronda los $3.000. Pasame la dirección y te lo confirmo.</t>
  </si>
  <si>
    <t>el precio es estimativo, no cerrado: siempre confirmar por la zona</t>
  </si>
  <si>
    <t>ROSS Histología</t>
  </si>
  <si>
    <t>Libro de Histología de la carrera de Medicina. Impreso y encuadernado. Es el material que más se usa en la carrera. Podés pasar por el local a verlo.</t>
  </si>
  <si>
    <t>Cotización de Pedro por Instagram, 27/08/2026</t>
  </si>
  <si>
    <t>LIBRO-MED-ROSSHISTOLOGIA</t>
  </si>
  <si>
    <t>ross, histologia, libro de histologia</t>
  </si>
  <si>
    <t>qué libro; cantidad</t>
  </si>
  <si>
    <t>Consultar disponibilidad</t>
  </si>
  <si>
    <t>ROSS Histología: $30.000. Pasá por el local a verlo o encargalo por mail.</t>
  </si>
  <si>
    <t>no es la impresión de apuntes sueltos: eso es Módulo de medicina</t>
  </si>
  <si>
    <t>LANGMAN Embriología Médica</t>
  </si>
  <si>
    <t>Libro de Embriología de la carrera de Medicina. Impreso y encuadernado. Es el material que más se usa en la carrera. Podés pasar por el local a verlo.</t>
  </si>
  <si>
    <t>LIBRO-MED-LANGMANEMBRIOL</t>
  </si>
  <si>
    <t>langman, embriologia, libro de embriologia</t>
  </si>
  <si>
    <t>LANGMAN Embriología Médica: $30.000. Pasá por el local a verlo o encargalo por mail.</t>
  </si>
  <si>
    <t>GUYTON &amp; HALL Fisiología</t>
  </si>
  <si>
    <t>Libro de Fisiología de la carrera de Medicina. Impreso y encuadernado. Es el material que más se usa en la carrera. Podés pasar por el local a verlo.</t>
  </si>
  <si>
    <t>LIBRO-MED-GUYTONHALLFISI</t>
  </si>
  <si>
    <t>guyton, hall, fisiologia, libro de fisiologia</t>
  </si>
  <si>
    <t>GUYTON &amp; HALL Fisiología: $30.000. Pasá por el local a verlo o encargalo por mail.</t>
  </si>
  <si>
    <t>MOORE Anatomía Clínica</t>
  </si>
  <si>
    <t>Libro de Anatomía de la carrera de Medicina. Impreso y encuadernado. Es el material que más se usa en la carrera. Podés pasar por el local a verlo.</t>
  </si>
  <si>
    <t>LIBRO-MED-MOOREANATOMIAC</t>
  </si>
  <si>
    <t>moore, anatomia, libro de anatomia, anatomia clinica</t>
  </si>
  <si>
    <t>MOORE Anatomía Clínica: $30.000. Pasá por el local a verlo o encargalo por mail.</t>
  </si>
  <si>
    <t>Pack 4 libros de medicina</t>
  </si>
  <si>
    <t>Los cuatro libros juntos: Ross, Langman, Guyton &amp; Hall y Moore. Sale $99.000 en vez de $120.000.</t>
  </si>
  <si>
    <t>LIBRO-MED-PACK4LIBROSDEM</t>
  </si>
  <si>
    <t>pack de libros, combo medicina, los 4 libros, promo medicina</t>
  </si>
  <si>
    <t>Pack 4 libros de medicina: $99.000. Pasá por el local a verlo o encargalo por mail.</t>
  </si>
  <si>
    <t>1,9 x 0,9 m</t>
  </si>
  <si>
    <t>Lona 1,9 x 0,9 m + porta banner 2 velas</t>
  </si>
  <si>
    <t>Lona front brillo impresa full color con bolsillos, más la estructura tipo araña de 2 velas. Se arma y se guarda en minutos.</t>
  </si>
  <si>
    <t>Lona $16.000 el m2 + porta banner 2 velas + bolsillos</t>
  </si>
  <si>
    <t>COMBO-LONA-2VELAS</t>
  </si>
  <si>
    <t>banner completo, kit de banner, lona con estructura, banner con lona, araña con lona, roll up con lona, banner armado</t>
  </si>
  <si>
    <t>72 hs</t>
  </si>
  <si>
    <t>PDF a escala 1:1 (o 1:10 avisando), 100 a 150 dpi al tamaño final. Textos en curvas.</t>
  </si>
  <si>
    <t>Lona 1,9 x 0,9 m + porta banner 2 velas: $61.360. Listo en 72 hs.</t>
  </si>
  <si>
    <t>el precio ya incluye la estructura; la lona sola se cotiza por m2</t>
  </si>
  <si>
    <t>2 x 0,85 m</t>
  </si>
  <si>
    <t>Lona 2 x 0,85 m + porta banner roll up</t>
  </si>
  <si>
    <t>Lona front brillo impresa full color más el roll up con estuche: la lona se enrolla dentro de la base. No lleva bolsillos: la lona se enrolla en el mecanismo.</t>
  </si>
  <si>
    <t>Lona $16.000 el m2 + porta banner roll up</t>
  </si>
  <si>
    <t>COMBO-LONA-ROLLUP</t>
  </si>
  <si>
    <t>Lona 2 x 0,85 m + porta banner roll up: $65.200. Listo en 72 hs.</t>
  </si>
  <si>
    <t>Desglose: 1,71 m2 x $16.000 = $27.360 + porta banner 2 velas $32.000 + bolsillos 2 m lineales x $1.000 = $2.000 (0,9 m arriba y abajo son 1,8 m, se redondea a 2). Recalcular si cambia alguna de las tres partes. Falta la foto.</t>
  </si>
  <si>
    <t>Desglose: 1,70 m2 x $16.000 = $27.200 + roll up $38.000. Sin bolsillos: la lona entra en el mecanismo. Falta la foto.</t>
  </si>
  <si>
    <t>Lunes a viernes de 8 a 20 hs · sábados de 9 a 13 hs</t>
  </si>
  <si>
    <t>Sí, estimativo: ronda los $3.000 según la zona</t>
  </si>
  <si>
    <t>Parcial</t>
  </si>
  <si>
    <t>Falta definir hasta dónde llega y qué se cobra fuera del radio. Pedro lo dejo 'a confirmar'.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</si>
</sst>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00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i/>
      <sz val="10"/>
      <color theme="1"/>
      <name val="Arial"/>
      <family val="2"/>
    </font>
    <font>
      <b/>
      <sz val="14"/>
      <color rgb="FF3B424F"/>
      <name val="Arial"/>
      <family val="2"/>
    </font>
    <font>
      <sz val="10"/>
      <color rgb="FF666666"/>
      <name val="Arial"/>
      <family val="2"/>
    </font>
    <font>
      <sz val="10"/>
      <color rgb="FF808080"/>
      <name val="Arial"/>
      <family val="2"/>
    </font>
    <font>
      <b/>
      <sz val="11"/>
      <color theme="1"/>
      <name val="Arial"/>
      <family val="2"/>
    </font>
    <font>
      <b/>
      <sz val="10"/>
      <color rgb="FF38510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B424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37A3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9E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164" fontId="1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49" fontId="1" fillId="0" borderId="1" xfId="0" applyNumberFormat="1" applyFont="1" applyBorder="1" applyAlignment="1">
      <alignment horizontal="left" vertical="top"/>
    </xf>
    <xf numFmtId="164" fontId="1" fillId="7" borderId="0" xfId="0" applyNumberFormat="1" applyFont="1" applyFill="1" applyAlignment="1">
      <alignment vertical="top"/>
    </xf>
    <xf numFmtId="0" fontId="1" fillId="7" borderId="0" xfId="0" applyFont="1" applyFill="1" applyAlignment="1">
      <alignment vertical="top"/>
    </xf>
    <xf numFmtId="0" fontId="8" fillId="0" borderId="1" xfId="0" applyFont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 vertical="top"/>
    </xf>
    <xf numFmtId="164" fontId="9" fillId="8" borderId="1" xfId="0" applyNumberFormat="1" applyFont="1" applyFill="1" applyBorder="1" applyAlignment="1">
      <alignment horizontal="right" vertical="top"/>
    </xf>
    <xf numFmtId="164" fontId="8" fillId="0" borderId="1" xfId="0" applyNumberFormat="1" applyFont="1" applyBorder="1" applyAlignment="1">
      <alignment horizontal="center" vertical="top"/>
    </xf>
    <xf numFmtId="164" fontId="8" fillId="0" borderId="1" xfId="0" applyNumberFormat="1" applyFont="1" applyBorder="1" applyAlignment="1">
      <alignment vertical="top"/>
    </xf>
    <xf numFmtId="164" fontId="1" fillId="7" borderId="1" xfId="0" applyNumberFormat="1" applyFont="1" applyFill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horizontal="center" vertical="top"/>
    </xf>
    <xf numFmtId="165" fontId="8" fillId="3" borderId="1" xfId="0" applyNumberFormat="1" applyFont="1" applyFill="1" applyBorder="1" applyAlignment="1">
      <alignment horizontal="center" vertical="top"/>
    </xf>
    <xf numFmtId="164" fontId="8" fillId="3" borderId="1" xfId="0" applyNumberFormat="1" applyFont="1" applyFill="1" applyBorder="1" applyAlignment="1">
      <alignment horizontal="center" vertical="top"/>
    </xf>
    <xf numFmtId="164" fontId="8" fillId="3" borderId="1" xfId="0" applyNumberFormat="1" applyFont="1" applyFill="1" applyBorder="1" applyAlignment="1">
      <alignment vertical="top"/>
    </xf>
    <xf numFmtId="0" fontId="10" fillId="9" borderId="0" xfId="0" applyFont="1" applyFill="1" applyAlignment="1">
      <alignment vertical="top"/>
    </xf>
    <xf numFmtId="2" fontId="1" fillId="7" borderId="1" xfId="0" applyNumberFormat="1" applyFont="1" applyFill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166" fontId="1" fillId="7" borderId="1" xfId="0" applyNumberFormat="1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10" fillId="9" borderId="0" xfId="0" applyFont="1" applyFill="1" applyAlignment="1">
      <alignment vertical="top" wrapText="1"/>
    </xf>
    <xf numFmtId="1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E1DC-BA9E-4B29-8F40-93D561591C18}">
  <dimension ref="A1:B60"/>
  <sheetViews>
    <sheetView workbookViewId="0"/>
  </sheetViews>
  <sheetFormatPr baseColWidth="10" defaultRowHeight="15" x14ac:dyDescent="0.25"/>
  <cols>
    <col min="1" max="1" width="30.7109375" customWidth="1"/>
    <col min="2" max="2" width="95.7109375" customWidth="1"/>
  </cols>
  <sheetData>
    <row r="1" spans="1:2" ht="18" x14ac:dyDescent="0.25">
      <c r="A1" s="8" t="s">
        <v>13</v>
      </c>
      <c r="B1" s="4"/>
    </row>
    <row r="2" spans="1:2" x14ac:dyDescent="0.25">
      <c r="A2" s="3"/>
      <c r="B2" s="4"/>
    </row>
    <row r="3" spans="1:2" x14ac:dyDescent="0.25">
      <c r="A3" s="9" t="s">
        <v>14</v>
      </c>
      <c r="B3" s="10"/>
    </row>
    <row r="4" spans="1:2" x14ac:dyDescent="0.25">
      <c r="A4" s="11" t="s">
        <v>15</v>
      </c>
      <c r="B4" s="4" t="s">
        <v>16</v>
      </c>
    </row>
    <row r="5" spans="1:2" x14ac:dyDescent="0.25">
      <c r="A5" s="11" t="s">
        <v>17</v>
      </c>
      <c r="B5" s="4" t="s">
        <v>18</v>
      </c>
    </row>
    <row r="6" spans="1:2" x14ac:dyDescent="0.25">
      <c r="A6" s="11" t="s">
        <v>19</v>
      </c>
      <c r="B6" s="4" t="s">
        <v>20</v>
      </c>
    </row>
    <row r="7" spans="1:2" x14ac:dyDescent="0.25">
      <c r="A7" s="11" t="s">
        <v>21</v>
      </c>
      <c r="B7" s="4" t="s">
        <v>22</v>
      </c>
    </row>
    <row r="8" spans="1:2" x14ac:dyDescent="0.25">
      <c r="A8" s="11" t="s">
        <v>23</v>
      </c>
      <c r="B8" s="4" t="s">
        <v>24</v>
      </c>
    </row>
    <row r="9" spans="1:2" x14ac:dyDescent="0.25">
      <c r="A9" s="11" t="s">
        <v>25</v>
      </c>
      <c r="B9" s="4" t="s">
        <v>26</v>
      </c>
    </row>
    <row r="10" spans="1:2" x14ac:dyDescent="0.25">
      <c r="A10" s="3"/>
      <c r="B10" s="4"/>
    </row>
    <row r="11" spans="1:2" x14ac:dyDescent="0.25">
      <c r="A11" s="9" t="s">
        <v>27</v>
      </c>
      <c r="B11" s="10"/>
    </row>
    <row r="12" spans="1:2" x14ac:dyDescent="0.25">
      <c r="A12" s="11" t="s">
        <v>0</v>
      </c>
      <c r="B12" s="4" t="s">
        <v>28</v>
      </c>
    </row>
    <row r="13" spans="1:2" x14ac:dyDescent="0.25">
      <c r="A13" s="11" t="s">
        <v>1</v>
      </c>
      <c r="B13" s="4" t="s">
        <v>29</v>
      </c>
    </row>
    <row r="14" spans="1:2" ht="25.5" x14ac:dyDescent="0.25">
      <c r="A14" s="11" t="s">
        <v>30</v>
      </c>
      <c r="B14" s="4" t="s">
        <v>31</v>
      </c>
    </row>
    <row r="15" spans="1:2" x14ac:dyDescent="0.25">
      <c r="A15" s="11" t="s">
        <v>3</v>
      </c>
      <c r="B15" s="4" t="s">
        <v>32</v>
      </c>
    </row>
    <row r="16" spans="1:2" x14ac:dyDescent="0.25">
      <c r="A16" s="11" t="s">
        <v>4</v>
      </c>
      <c r="B16" s="4" t="s">
        <v>33</v>
      </c>
    </row>
    <row r="17" spans="1:2" x14ac:dyDescent="0.25">
      <c r="A17" s="11" t="s">
        <v>34</v>
      </c>
      <c r="B17" s="4" t="s">
        <v>35</v>
      </c>
    </row>
    <row r="18" spans="1:2" x14ac:dyDescent="0.25">
      <c r="A18" s="11" t="s">
        <v>36</v>
      </c>
      <c r="B18" s="4" t="s">
        <v>37</v>
      </c>
    </row>
    <row r="19" spans="1:2" x14ac:dyDescent="0.25">
      <c r="A19" s="11" t="s">
        <v>7</v>
      </c>
      <c r="B19" s="4" t="s">
        <v>38</v>
      </c>
    </row>
    <row r="20" spans="1:2" x14ac:dyDescent="0.25">
      <c r="A20" s="3"/>
      <c r="B20" s="4"/>
    </row>
    <row r="21" spans="1:2" x14ac:dyDescent="0.25">
      <c r="A21" s="9" t="s">
        <v>39</v>
      </c>
      <c r="B21" s="10"/>
    </row>
    <row r="22" spans="1:2" x14ac:dyDescent="0.25">
      <c r="A22" s="11" t="s">
        <v>40</v>
      </c>
      <c r="B22" s="4" t="s">
        <v>41</v>
      </c>
    </row>
    <row r="23" spans="1:2" x14ac:dyDescent="0.25">
      <c r="A23" s="11" t="s">
        <v>42</v>
      </c>
      <c r="B23" s="4" t="s">
        <v>43</v>
      </c>
    </row>
    <row r="24" spans="1:2" x14ac:dyDescent="0.25">
      <c r="A24" s="11" t="s">
        <v>44</v>
      </c>
      <c r="B24" s="4" t="s">
        <v>45</v>
      </c>
    </row>
    <row r="25" spans="1:2" x14ac:dyDescent="0.25">
      <c r="A25" s="11" t="s">
        <v>46</v>
      </c>
      <c r="B25" s="4" t="s">
        <v>47</v>
      </c>
    </row>
    <row r="26" spans="1:2" x14ac:dyDescent="0.25">
      <c r="A26" s="3"/>
      <c r="B26" s="4"/>
    </row>
    <row r="27" spans="1:2" x14ac:dyDescent="0.25">
      <c r="A27" s="9" t="s">
        <v>48</v>
      </c>
      <c r="B27" s="10"/>
    </row>
    <row r="28" spans="1:2" x14ac:dyDescent="0.25">
      <c r="A28" s="11" t="s">
        <v>49</v>
      </c>
      <c r="B28" s="12">
        <f>COUNTA(Productos!B2:B200)</f>
        <v>56</v>
      </c>
    </row>
    <row r="29" spans="1:2" x14ac:dyDescent="0.25">
      <c r="A29" s="11" t="s">
        <v>50</v>
      </c>
      <c r="B29" s="4">
        <v>500</v>
      </c>
    </row>
    <row r="30" spans="1:2" x14ac:dyDescent="0.25">
      <c r="A30" s="3"/>
      <c r="B30" s="4"/>
    </row>
    <row r="31" spans="1:2" x14ac:dyDescent="0.25">
      <c r="A31" s="13" t="s">
        <v>51</v>
      </c>
      <c r="B31" s="4"/>
    </row>
    <row r="32" spans="1:2" x14ac:dyDescent="0.25">
      <c r="A32" s="3"/>
      <c r="B32" s="4"/>
    </row>
    <row r="33" spans="1:2" x14ac:dyDescent="0.25">
      <c r="A33" s="9" t="s">
        <v>329</v>
      </c>
      <c r="B33" s="10"/>
    </row>
    <row r="34" spans="1:2" ht="25.5" x14ac:dyDescent="0.25">
      <c r="A34" s="11" t="s">
        <v>330</v>
      </c>
      <c r="B34" s="4" t="s">
        <v>331</v>
      </c>
    </row>
    <row r="35" spans="1:2" ht="25.5" x14ac:dyDescent="0.25">
      <c r="A35" s="11" t="s">
        <v>332</v>
      </c>
      <c r="B35" s="4" t="s">
        <v>333</v>
      </c>
    </row>
    <row r="36" spans="1:2" ht="25.5" x14ac:dyDescent="0.25">
      <c r="A36" s="11" t="s">
        <v>334</v>
      </c>
      <c r="B36" s="4" t="s">
        <v>335</v>
      </c>
    </row>
    <row r="37" spans="1:2" x14ac:dyDescent="0.25">
      <c r="A37" s="3"/>
      <c r="B37" s="4"/>
    </row>
    <row r="38" spans="1:2" x14ac:dyDescent="0.25">
      <c r="A38" s="9" t="s">
        <v>398</v>
      </c>
      <c r="B38" s="10"/>
    </row>
    <row r="39" spans="1:2" ht="25.5" x14ac:dyDescent="0.25">
      <c r="A39" s="11" t="s">
        <v>399</v>
      </c>
      <c r="B39" s="4" t="s">
        <v>400</v>
      </c>
    </row>
    <row r="40" spans="1:2" x14ac:dyDescent="0.25">
      <c r="A40" s="11" t="s">
        <v>401</v>
      </c>
      <c r="B40" s="4" t="s">
        <v>402</v>
      </c>
    </row>
    <row r="41" spans="1:2" ht="25.5" x14ac:dyDescent="0.25">
      <c r="A41" s="11" t="s">
        <v>403</v>
      </c>
      <c r="B41" s="4" t="s">
        <v>404</v>
      </c>
    </row>
    <row r="42" spans="1:2" ht="25.5" x14ac:dyDescent="0.25">
      <c r="A42" s="11" t="s">
        <v>405</v>
      </c>
      <c r="B42" s="4" t="s">
        <v>406</v>
      </c>
    </row>
    <row r="43" spans="1:2" x14ac:dyDescent="0.25">
      <c r="A43" s="3"/>
      <c r="B43" s="4"/>
    </row>
    <row r="44" spans="1:2" x14ac:dyDescent="0.25">
      <c r="A44" s="3"/>
      <c r="B44" s="4"/>
    </row>
    <row r="45" spans="1:2" x14ac:dyDescent="0.25">
      <c r="A45" s="3"/>
      <c r="B45" s="4"/>
    </row>
    <row r="46" spans="1:2" x14ac:dyDescent="0.25">
      <c r="A46" s="3"/>
      <c r="B46" s="4"/>
    </row>
    <row r="47" spans="1:2" x14ac:dyDescent="0.25">
      <c r="A47" s="3"/>
      <c r="B47" s="4"/>
    </row>
    <row r="48" spans="1:2" x14ac:dyDescent="0.25">
      <c r="A48" s="3"/>
      <c r="B48" s="4"/>
    </row>
    <row r="49" spans="1:2" x14ac:dyDescent="0.25">
      <c r="A49" s="3"/>
      <c r="B49" s="4"/>
    </row>
    <row r="50" spans="1:2" x14ac:dyDescent="0.25">
      <c r="A50" s="3"/>
      <c r="B50" s="4"/>
    </row>
    <row r="51" spans="1:2" x14ac:dyDescent="0.25">
      <c r="A51" s="3"/>
      <c r="B51" s="4"/>
    </row>
    <row r="52" spans="1:2" x14ac:dyDescent="0.25">
      <c r="A52" s="3"/>
      <c r="B52" s="4"/>
    </row>
    <row r="53" spans="1:2" x14ac:dyDescent="0.25">
      <c r="A53" s="3"/>
      <c r="B53" s="4"/>
    </row>
    <row r="54" spans="1:2" x14ac:dyDescent="0.25">
      <c r="A54" s="3"/>
      <c r="B54" s="4"/>
    </row>
    <row r="55" spans="1:2" x14ac:dyDescent="0.25">
      <c r="A55" s="3"/>
      <c r="B55" s="4"/>
    </row>
    <row r="56" spans="1:2" x14ac:dyDescent="0.25">
      <c r="A56" s="3"/>
      <c r="B56" s="4"/>
    </row>
    <row r="57" spans="1:2" x14ac:dyDescent="0.25">
      <c r="A57" s="3"/>
      <c r="B57" s="4"/>
    </row>
    <row r="58" spans="1:2" x14ac:dyDescent="0.25">
      <c r="A58" s="3"/>
      <c r="B58" s="4"/>
    </row>
    <row r="59" spans="1:2" x14ac:dyDescent="0.25">
      <c r="A59" s="3"/>
      <c r="B59" s="4"/>
    </row>
    <row r="60" spans="1:2" x14ac:dyDescent="0.25">
      <c r="A60" s="3"/>
      <c r="B6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BF42-8C5E-45E1-BF10-4F0E73678A1F}">
  <dimension ref="A1:F46"/>
  <sheetViews>
    <sheetView workbookViewId="0">
      <selection activeCell="A47" sqref="A47"/>
    </sheetView>
  </sheetViews>
  <sheetFormatPr baseColWidth="10" defaultRowHeight="15" x14ac:dyDescent="0.25"/>
  <cols>
    <col min="1" max="1" width="44.7109375" customWidth="1"/>
    <col min="2" max="2" width="14.7109375" customWidth="1"/>
    <col min="3" max="3" width="15.7109375" customWidth="1"/>
    <col min="4" max="4" width="18.7109375" customWidth="1"/>
    <col min="5" max="5" width="24.7109375" customWidth="1"/>
    <col min="6" max="6" width="50.7109375" customWidth="1"/>
  </cols>
  <sheetData>
    <row r="1" spans="1:6" ht="18" x14ac:dyDescent="0.25">
      <c r="A1" s="8" t="s">
        <v>488</v>
      </c>
      <c r="B1" s="3"/>
      <c r="C1" s="3"/>
      <c r="D1" s="3"/>
      <c r="E1" s="4"/>
      <c r="F1" s="4"/>
    </row>
    <row r="2" spans="1:6" x14ac:dyDescent="0.25">
      <c r="A2" s="13" t="s">
        <v>513</v>
      </c>
      <c r="B2" s="3"/>
      <c r="C2" s="3"/>
      <c r="D2" s="3"/>
      <c r="E2" s="4"/>
      <c r="F2" s="4"/>
    </row>
    <row r="3" spans="1:6" x14ac:dyDescent="0.25">
      <c r="A3" s="3"/>
      <c r="B3" s="3"/>
      <c r="C3" s="3"/>
      <c r="D3" s="3"/>
      <c r="E3" s="4"/>
      <c r="F3" s="4"/>
    </row>
    <row r="4" spans="1:6" x14ac:dyDescent="0.25">
      <c r="A4" s="9" t="s">
        <v>493</v>
      </c>
      <c r="B4" s="9"/>
      <c r="C4" s="9"/>
      <c r="D4" s="9"/>
      <c r="E4" s="10"/>
      <c r="F4" s="4"/>
    </row>
    <row r="5" spans="1:6" x14ac:dyDescent="0.25">
      <c r="A5" s="30" t="s">
        <v>489</v>
      </c>
      <c r="B5" s="30" t="s">
        <v>494</v>
      </c>
      <c r="C5" s="30" t="s">
        <v>495</v>
      </c>
      <c r="D5" s="30" t="s">
        <v>496</v>
      </c>
      <c r="E5" s="42" t="s">
        <v>492</v>
      </c>
      <c r="F5" s="4"/>
    </row>
    <row r="6" spans="1:6" x14ac:dyDescent="0.25">
      <c r="A6" s="6" t="s">
        <v>514</v>
      </c>
      <c r="B6" s="47">
        <v>1</v>
      </c>
      <c r="C6" s="47">
        <v>1</v>
      </c>
      <c r="D6" s="48">
        <v>2500</v>
      </c>
      <c r="E6" s="7" t="s">
        <v>497</v>
      </c>
      <c r="F6" s="4"/>
    </row>
    <row r="7" spans="1:6" x14ac:dyDescent="0.25">
      <c r="A7" s="6" t="s">
        <v>514</v>
      </c>
      <c r="B7" s="47">
        <v>2</v>
      </c>
      <c r="C7" s="47">
        <v>10</v>
      </c>
      <c r="D7" s="48">
        <v>2200</v>
      </c>
      <c r="E7" s="7" t="s">
        <v>497</v>
      </c>
      <c r="F7" s="4"/>
    </row>
    <row r="8" spans="1:6" x14ac:dyDescent="0.25">
      <c r="A8" s="6" t="s">
        <v>514</v>
      </c>
      <c r="B8" s="47">
        <v>11</v>
      </c>
      <c r="C8" s="47">
        <v>50</v>
      </c>
      <c r="D8" s="48">
        <v>2000</v>
      </c>
      <c r="E8" s="7" t="s">
        <v>497</v>
      </c>
      <c r="F8" s="4"/>
    </row>
    <row r="9" spans="1:6" x14ac:dyDescent="0.25">
      <c r="A9" s="6" t="s">
        <v>514</v>
      </c>
      <c r="B9" s="47">
        <v>51</v>
      </c>
      <c r="C9" s="47">
        <v>100</v>
      </c>
      <c r="D9" s="48">
        <v>1900</v>
      </c>
      <c r="E9" s="7" t="s">
        <v>497</v>
      </c>
      <c r="F9" s="4"/>
    </row>
    <row r="10" spans="1:6" ht="89.25" x14ac:dyDescent="0.25">
      <c r="A10" s="6" t="s">
        <v>514</v>
      </c>
      <c r="B10" s="47">
        <v>101</v>
      </c>
      <c r="C10" s="47"/>
      <c r="D10" s="48">
        <v>1710</v>
      </c>
      <c r="E10" s="7" t="s">
        <v>544</v>
      </c>
      <c r="F10" s="4"/>
    </row>
    <row r="11" spans="1:6" ht="25.5" x14ac:dyDescent="0.25">
      <c r="A11" s="6" t="s">
        <v>515</v>
      </c>
      <c r="B11" s="47">
        <v>1</v>
      </c>
      <c r="C11" s="47">
        <v>100</v>
      </c>
      <c r="D11" s="48">
        <v>1800</v>
      </c>
      <c r="E11" s="7" t="s">
        <v>498</v>
      </c>
      <c r="F11" s="4"/>
    </row>
    <row r="12" spans="1:6" ht="38.25" x14ac:dyDescent="0.25">
      <c r="A12" s="6" t="s">
        <v>515</v>
      </c>
      <c r="B12" s="47">
        <v>101</v>
      </c>
      <c r="C12" s="47"/>
      <c r="D12" s="48">
        <v>1620</v>
      </c>
      <c r="E12" s="7" t="s">
        <v>558</v>
      </c>
      <c r="F12" s="4"/>
    </row>
    <row r="13" spans="1:6" ht="25.5" x14ac:dyDescent="0.25">
      <c r="A13" s="6" t="s">
        <v>490</v>
      </c>
      <c r="B13" s="47">
        <v>1</v>
      </c>
      <c r="C13" s="47">
        <v>9</v>
      </c>
      <c r="D13" s="48">
        <v>2400</v>
      </c>
      <c r="E13" s="7" t="s">
        <v>498</v>
      </c>
      <c r="F13" s="4"/>
    </row>
    <row r="14" spans="1:6" ht="25.5" x14ac:dyDescent="0.25">
      <c r="A14" s="6" t="s">
        <v>490</v>
      </c>
      <c r="B14" s="47">
        <v>10</v>
      </c>
      <c r="C14" s="47">
        <v>29</v>
      </c>
      <c r="D14" s="48">
        <v>2160</v>
      </c>
      <c r="E14" s="7" t="s">
        <v>499</v>
      </c>
      <c r="F14" s="4"/>
    </row>
    <row r="15" spans="1:6" ht="25.5" x14ac:dyDescent="0.25">
      <c r="A15" s="6" t="s">
        <v>490</v>
      </c>
      <c r="B15" s="47">
        <v>30</v>
      </c>
      <c r="C15" s="47"/>
      <c r="D15" s="48">
        <v>1920</v>
      </c>
      <c r="E15" s="7" t="s">
        <v>500</v>
      </c>
      <c r="F15" s="4"/>
    </row>
    <row r="16" spans="1:6" ht="25.5" x14ac:dyDescent="0.25">
      <c r="A16" s="6" t="s">
        <v>424</v>
      </c>
      <c r="B16" s="47">
        <v>1</v>
      </c>
      <c r="C16" s="47">
        <v>9</v>
      </c>
      <c r="D16" s="48">
        <v>2800</v>
      </c>
      <c r="E16" s="7" t="s">
        <v>516</v>
      </c>
      <c r="F16" s="4"/>
    </row>
    <row r="17" spans="1:6" ht="25.5" x14ac:dyDescent="0.25">
      <c r="A17" s="6" t="s">
        <v>424</v>
      </c>
      <c r="B17" s="47">
        <v>10</v>
      </c>
      <c r="C17" s="47">
        <v>29</v>
      </c>
      <c r="D17" s="48">
        <v>2520</v>
      </c>
      <c r="E17" s="7" t="s">
        <v>499</v>
      </c>
      <c r="F17" s="4"/>
    </row>
    <row r="18" spans="1:6" ht="25.5" x14ac:dyDescent="0.25">
      <c r="A18" s="6" t="s">
        <v>424</v>
      </c>
      <c r="B18" s="47">
        <v>30</v>
      </c>
      <c r="C18" s="47"/>
      <c r="D18" s="48">
        <v>2240</v>
      </c>
      <c r="E18" s="7" t="s">
        <v>500</v>
      </c>
      <c r="F18" s="4"/>
    </row>
    <row r="19" spans="1:6" ht="25.5" x14ac:dyDescent="0.25">
      <c r="A19" s="6" t="s">
        <v>501</v>
      </c>
      <c r="B19" s="47">
        <v>1</v>
      </c>
      <c r="C19" s="47">
        <v>9</v>
      </c>
      <c r="D19" s="48">
        <v>2600</v>
      </c>
      <c r="E19" s="7" t="s">
        <v>498</v>
      </c>
      <c r="F19" s="4"/>
    </row>
    <row r="20" spans="1:6" ht="25.5" x14ac:dyDescent="0.25">
      <c r="A20" s="6" t="s">
        <v>501</v>
      </c>
      <c r="B20" s="47">
        <v>10</v>
      </c>
      <c r="C20" s="47">
        <v>29</v>
      </c>
      <c r="D20" s="48">
        <v>2340</v>
      </c>
      <c r="E20" s="7" t="s">
        <v>499</v>
      </c>
      <c r="F20" s="4"/>
    </row>
    <row r="21" spans="1:6" ht="25.5" x14ac:dyDescent="0.25">
      <c r="A21" s="6" t="s">
        <v>501</v>
      </c>
      <c r="B21" s="47">
        <v>30</v>
      </c>
      <c r="C21" s="47"/>
      <c r="D21" s="48">
        <v>2080</v>
      </c>
      <c r="E21" s="7" t="s">
        <v>500</v>
      </c>
      <c r="F21" s="4"/>
    </row>
    <row r="22" spans="1:6" ht="25.5" x14ac:dyDescent="0.25">
      <c r="A22" s="6" t="s">
        <v>502</v>
      </c>
      <c r="B22" s="47">
        <v>1</v>
      </c>
      <c r="C22" s="47">
        <v>9</v>
      </c>
      <c r="D22" s="48">
        <v>3000</v>
      </c>
      <c r="E22" s="7" t="s">
        <v>516</v>
      </c>
      <c r="F22" s="4"/>
    </row>
    <row r="23" spans="1:6" ht="25.5" x14ac:dyDescent="0.25">
      <c r="A23" s="6" t="s">
        <v>502</v>
      </c>
      <c r="B23" s="47">
        <v>10</v>
      </c>
      <c r="C23" s="47">
        <v>29</v>
      </c>
      <c r="D23" s="48">
        <v>2700</v>
      </c>
      <c r="E23" s="7" t="s">
        <v>499</v>
      </c>
      <c r="F23" s="4"/>
    </row>
    <row r="24" spans="1:6" ht="25.5" x14ac:dyDescent="0.25">
      <c r="A24" s="6" t="s">
        <v>502</v>
      </c>
      <c r="B24" s="47">
        <v>30</v>
      </c>
      <c r="C24" s="47"/>
      <c r="D24" s="48">
        <v>2400</v>
      </c>
      <c r="E24" s="7" t="s">
        <v>500</v>
      </c>
      <c r="F24" s="4"/>
    </row>
    <row r="25" spans="1:6" x14ac:dyDescent="0.25">
      <c r="A25" s="3"/>
      <c r="B25" s="3"/>
      <c r="C25" s="3"/>
      <c r="D25" s="3"/>
      <c r="E25" s="3"/>
      <c r="F25" s="4"/>
    </row>
    <row r="26" spans="1:6" x14ac:dyDescent="0.25">
      <c r="A26" s="9" t="s">
        <v>503</v>
      </c>
      <c r="B26" s="9"/>
      <c r="C26" s="9"/>
      <c r="D26" s="9"/>
      <c r="E26" s="9"/>
      <c r="F26" s="4"/>
    </row>
    <row r="27" spans="1:6" x14ac:dyDescent="0.25">
      <c r="A27" s="16" t="s">
        <v>504</v>
      </c>
      <c r="B27" s="43">
        <v>31</v>
      </c>
      <c r="C27" s="43">
        <v>46</v>
      </c>
      <c r="D27" s="6"/>
      <c r="E27" s="6" t="s">
        <v>517</v>
      </c>
      <c r="F27" s="4"/>
    </row>
    <row r="28" spans="1:6" x14ac:dyDescent="0.25">
      <c r="A28" s="16" t="s">
        <v>505</v>
      </c>
      <c r="B28" s="43">
        <v>28</v>
      </c>
      <c r="C28" s="43">
        <v>44</v>
      </c>
      <c r="D28" s="6"/>
      <c r="E28" s="6" t="s">
        <v>506</v>
      </c>
      <c r="F28" s="4"/>
    </row>
    <row r="29" spans="1:6" x14ac:dyDescent="0.25">
      <c r="A29" s="16" t="s">
        <v>507</v>
      </c>
      <c r="B29" s="43">
        <v>0.3</v>
      </c>
      <c r="C29" s="43"/>
      <c r="D29" s="6"/>
      <c r="E29" s="6" t="s">
        <v>508</v>
      </c>
      <c r="F29" s="4"/>
    </row>
    <row r="30" spans="1:6" x14ac:dyDescent="0.25">
      <c r="A30" s="3"/>
      <c r="B30" s="3"/>
      <c r="C30" s="3"/>
      <c r="D30" s="3"/>
      <c r="E30" s="3"/>
      <c r="F30" s="4"/>
    </row>
    <row r="31" spans="1:6" x14ac:dyDescent="0.25">
      <c r="A31" s="9" t="s">
        <v>509</v>
      </c>
      <c r="B31" s="9"/>
      <c r="C31" s="9"/>
      <c r="D31" s="9"/>
      <c r="E31" s="9"/>
      <c r="F31" s="10"/>
    </row>
    <row r="32" spans="1:6" x14ac:dyDescent="0.25">
      <c r="A32" s="42" t="s">
        <v>491</v>
      </c>
      <c r="B32" s="42" t="s">
        <v>419</v>
      </c>
      <c r="C32" s="42" t="s">
        <v>420</v>
      </c>
      <c r="D32" s="42" t="s">
        <v>510</v>
      </c>
      <c r="E32" s="42" t="s">
        <v>511</v>
      </c>
      <c r="F32" s="42" t="s">
        <v>492</v>
      </c>
    </row>
    <row r="33" spans="1:6" ht="25.5" x14ac:dyDescent="0.25">
      <c r="A33" s="30" t="s">
        <v>464</v>
      </c>
      <c r="B33" s="19">
        <v>3</v>
      </c>
      <c r="C33" s="19">
        <v>3</v>
      </c>
      <c r="D33" s="44">
        <f t="shared" ref="D33:D39" si="0">MAX(INT(IMP_ANCHO/B33)*INT(IMP_ALTO/C33),INT(IMP_ANCHO/C33)*INT(IMP_ALTO/B33))</f>
        <v>150</v>
      </c>
      <c r="E33" s="44">
        <f t="shared" ref="E33:E39" si="1">MAX(INT((TRQ_ANCHO+SEPARACION)/(B33+SEPARACION))*INT((TRQ_ALTO+SEPARACION)/(C33+SEPARACION)),INT((TRQ_ANCHO+SEPARACION)/(C33+SEPARACION))*INT((TRQ_ALTO+SEPARACION)/(B33+SEPARACION)))</f>
        <v>104</v>
      </c>
      <c r="F33" s="45" t="s">
        <v>512</v>
      </c>
    </row>
    <row r="34" spans="1:6" ht="25.5" x14ac:dyDescent="0.25">
      <c r="A34" s="30" t="s">
        <v>465</v>
      </c>
      <c r="B34" s="19">
        <v>6</v>
      </c>
      <c r="C34" s="19">
        <v>3</v>
      </c>
      <c r="D34" s="44">
        <f t="shared" si="0"/>
        <v>75</v>
      </c>
      <c r="E34" s="44">
        <f t="shared" si="1"/>
        <v>56</v>
      </c>
      <c r="F34" s="45" t="s">
        <v>512</v>
      </c>
    </row>
    <row r="35" spans="1:6" ht="25.5" x14ac:dyDescent="0.25">
      <c r="A35" s="30" t="s">
        <v>466</v>
      </c>
      <c r="B35" s="19">
        <v>5</v>
      </c>
      <c r="C35" s="19">
        <v>5</v>
      </c>
      <c r="D35" s="44">
        <f t="shared" si="0"/>
        <v>54</v>
      </c>
      <c r="E35" s="44">
        <f t="shared" si="1"/>
        <v>40</v>
      </c>
      <c r="F35" s="45" t="s">
        <v>512</v>
      </c>
    </row>
    <row r="36" spans="1:6" ht="25.5" x14ac:dyDescent="0.25">
      <c r="A36" s="30" t="s">
        <v>467</v>
      </c>
      <c r="B36" s="19">
        <v>9</v>
      </c>
      <c r="C36" s="19">
        <v>5</v>
      </c>
      <c r="D36" s="44">
        <f t="shared" si="0"/>
        <v>30</v>
      </c>
      <c r="E36" s="44">
        <f t="shared" si="1"/>
        <v>24</v>
      </c>
      <c r="F36" s="45" t="s">
        <v>512</v>
      </c>
    </row>
    <row r="37" spans="1:6" ht="25.5" x14ac:dyDescent="0.25">
      <c r="A37" s="30" t="s">
        <v>468</v>
      </c>
      <c r="B37" s="19">
        <v>7</v>
      </c>
      <c r="C37" s="19">
        <v>7</v>
      </c>
      <c r="D37" s="44">
        <f t="shared" si="0"/>
        <v>24</v>
      </c>
      <c r="E37" s="44">
        <f t="shared" si="1"/>
        <v>18</v>
      </c>
      <c r="F37" s="45" t="s">
        <v>512</v>
      </c>
    </row>
    <row r="38" spans="1:6" ht="25.5" x14ac:dyDescent="0.25">
      <c r="A38" s="30" t="s">
        <v>469</v>
      </c>
      <c r="B38" s="19">
        <v>10</v>
      </c>
      <c r="C38" s="19">
        <v>10</v>
      </c>
      <c r="D38" s="44">
        <f t="shared" si="0"/>
        <v>12</v>
      </c>
      <c r="E38" s="44">
        <f t="shared" si="1"/>
        <v>8</v>
      </c>
      <c r="F38" s="45" t="s">
        <v>512</v>
      </c>
    </row>
    <row r="39" spans="1:6" ht="25.5" x14ac:dyDescent="0.25">
      <c r="A39" s="30" t="s">
        <v>470</v>
      </c>
      <c r="B39" s="19">
        <v>14</v>
      </c>
      <c r="C39" s="19">
        <v>10</v>
      </c>
      <c r="D39" s="44">
        <f t="shared" si="0"/>
        <v>9</v>
      </c>
      <c r="E39" s="44">
        <f t="shared" si="1"/>
        <v>6</v>
      </c>
      <c r="F39" s="45" t="s">
        <v>512</v>
      </c>
    </row>
    <row r="40" spans="1:6" x14ac:dyDescent="0.25">
      <c r="A40" s="3"/>
      <c r="B40" s="3"/>
      <c r="C40" s="3"/>
      <c r="D40" s="3"/>
      <c r="E40" s="3"/>
      <c r="F40" s="4"/>
    </row>
    <row r="41" spans="1:6" x14ac:dyDescent="0.25">
      <c r="A41" s="40" t="s">
        <v>518</v>
      </c>
      <c r="B41" s="40"/>
      <c r="C41" s="40"/>
      <c r="D41" s="40"/>
      <c r="E41" s="40"/>
      <c r="F41" s="46"/>
    </row>
    <row r="42" spans="1:6" x14ac:dyDescent="0.25">
      <c r="A42" s="3"/>
      <c r="B42" s="3"/>
      <c r="C42" s="3"/>
      <c r="D42" s="3"/>
      <c r="E42" s="3"/>
      <c r="F42" s="4"/>
    </row>
    <row r="43" spans="1:6" x14ac:dyDescent="0.25">
      <c r="A43" s="3"/>
      <c r="B43" s="3"/>
      <c r="C43" s="3"/>
      <c r="D43" s="3"/>
      <c r="E43" s="3"/>
      <c r="F43" s="4"/>
    </row>
    <row r="44" spans="1:6" x14ac:dyDescent="0.25">
      <c r="A44" t="s">
        <v>721</v>
      </c>
    </row>
    <row r="45" spans="1:6" x14ac:dyDescent="0.25">
      <c r="A45" t="s">
        <v>722</v>
      </c>
    </row>
    <row r="46" spans="1:6" x14ac:dyDescent="0.25">
      <c r="A46" t="s">
        <v>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AEE1-F5CF-4673-8998-5FD3FA6F2C1C}">
  <dimension ref="A1:Z195"/>
  <sheetViews>
    <sheetView tabSelected="1" zoomScale="85" zoomScaleNormal="85" workbookViewId="0">
      <pane ySplit="16" topLeftCell="A71" activePane="bottomLeft" state="frozen"/>
      <selection pane="bottomLeft" activeCell="B8" sqref="B8"/>
    </sheetView>
  </sheetViews>
  <sheetFormatPr baseColWidth="10" defaultRowHeight="15" x14ac:dyDescent="0.25"/>
  <cols>
    <col min="1" max="1" width="133.85546875" bestFit="1" customWidth="1"/>
    <col min="2" max="2" width="13.85546875" bestFit="1" customWidth="1"/>
    <col min="3" max="3" width="61" bestFit="1" customWidth="1"/>
    <col min="4" max="4" width="15.7109375" customWidth="1"/>
    <col min="5" max="5" width="58.7109375" customWidth="1"/>
    <col min="6" max="6" width="40.7109375" customWidth="1"/>
    <col min="7" max="8" width="10.7109375" customWidth="1"/>
    <col min="9" max="9" width="9.7109375" customWidth="1"/>
    <col min="10" max="10" width="8.7109375" customWidth="1"/>
    <col min="11" max="11" width="12.7109375" customWidth="1"/>
    <col min="12" max="12" width="9.7109375" customWidth="1"/>
    <col min="13" max="13" width="11.7109375" customWidth="1"/>
    <col min="14" max="14" width="13.7109375" customWidth="1"/>
    <col min="15" max="15" width="10.7109375" customWidth="1"/>
    <col min="16" max="16" width="14.7109375" customWidth="1"/>
  </cols>
  <sheetData>
    <row r="1" spans="1:26" ht="18" x14ac:dyDescent="0.25">
      <c r="A1" s="8" t="s">
        <v>461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6" x14ac:dyDescent="0.25">
      <c r="A2" s="13" t="s">
        <v>519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9" t="s">
        <v>520</v>
      </c>
      <c r="B4" s="9"/>
      <c r="C4" s="9"/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5">
      <c r="A5" s="16" t="s">
        <v>421</v>
      </c>
      <c r="B5" s="16" t="s">
        <v>422</v>
      </c>
      <c r="C5" s="16" t="s">
        <v>485</v>
      </c>
      <c r="D5" s="16" t="s">
        <v>423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5">
      <c r="A6" s="6" t="s">
        <v>415</v>
      </c>
      <c r="B6" s="29">
        <v>16000</v>
      </c>
      <c r="C6" s="41">
        <v>0.5</v>
      </c>
      <c r="D6" s="6" t="s">
        <v>521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5">
      <c r="A7" s="6" t="s">
        <v>480</v>
      </c>
      <c r="B7" s="29">
        <v>22000</v>
      </c>
      <c r="C7" s="41">
        <v>0.5</v>
      </c>
      <c r="D7" s="6" t="s">
        <v>521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6" t="s">
        <v>481</v>
      </c>
      <c r="B8" s="29">
        <v>26000</v>
      </c>
      <c r="C8" s="41">
        <v>0.5</v>
      </c>
      <c r="D8" s="6" t="s">
        <v>521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5">
      <c r="A9" s="6" t="s">
        <v>416</v>
      </c>
      <c r="B9" s="29">
        <v>30000</v>
      </c>
      <c r="C9" s="41">
        <v>0.5</v>
      </c>
      <c r="D9" s="6" t="s">
        <v>486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5">
      <c r="A10" s="6" t="s">
        <v>545</v>
      </c>
      <c r="B10" s="29">
        <v>28000</v>
      </c>
      <c r="C10" s="41">
        <v>0.5</v>
      </c>
      <c r="D10" s="6" t="s">
        <v>546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5">
      <c r="A12" s="11" t="s">
        <v>417</v>
      </c>
      <c r="B12" s="22">
        <v>4000</v>
      </c>
      <c r="C12" s="3"/>
      <c r="D12" s="3" t="s">
        <v>522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11" t="s">
        <v>418</v>
      </c>
      <c r="B13" s="23">
        <v>100</v>
      </c>
      <c r="C13" s="3"/>
      <c r="D13" s="3" t="s">
        <v>425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40" t="s">
        <v>547</v>
      </c>
      <c r="B14" s="40"/>
      <c r="C14" s="40"/>
      <c r="D14" s="4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ht="36" customHeight="1" x14ac:dyDescent="0.25">
      <c r="A16" s="5" t="s">
        <v>0</v>
      </c>
      <c r="B16" s="5" t="s">
        <v>462</v>
      </c>
      <c r="C16" s="5" t="s">
        <v>52</v>
      </c>
      <c r="D16" s="5" t="s">
        <v>426</v>
      </c>
      <c r="E16" s="5" t="s">
        <v>427</v>
      </c>
      <c r="F16" s="5" t="s">
        <v>421</v>
      </c>
      <c r="G16" s="5" t="s">
        <v>523</v>
      </c>
      <c r="H16" s="5" t="s">
        <v>419</v>
      </c>
      <c r="I16" s="5" t="s">
        <v>420</v>
      </c>
      <c r="J16" s="5" t="s">
        <v>367</v>
      </c>
      <c r="K16" s="5" t="s">
        <v>524</v>
      </c>
      <c r="L16" s="5" t="s">
        <v>525</v>
      </c>
      <c r="M16" s="5" t="s">
        <v>526</v>
      </c>
      <c r="N16" s="5" t="s">
        <v>487</v>
      </c>
      <c r="O16" s="5" t="s">
        <v>428</v>
      </c>
      <c r="P16" s="5" t="s">
        <v>429</v>
      </c>
      <c r="Q16" t="s">
        <v>1299</v>
      </c>
      <c r="R16" t="s">
        <v>1300</v>
      </c>
      <c r="S16" t="s">
        <v>1301</v>
      </c>
      <c r="T16" t="s">
        <v>1302</v>
      </c>
      <c r="U16" t="s">
        <v>1303</v>
      </c>
      <c r="V16" t="s">
        <v>1304</v>
      </c>
      <c r="W16" t="s">
        <v>1305</v>
      </c>
      <c r="X16" t="s">
        <v>1306</v>
      </c>
      <c r="Y16" t="s">
        <v>1307</v>
      </c>
      <c r="Z16" t="s">
        <v>1308</v>
      </c>
    </row>
    <row r="79" spans="1:26" ht="25.5" x14ac:dyDescent="0.25">
      <c r="A79" s="31" t="s">
        <v>10</v>
      </c>
      <c r="B79" s="32" t="s">
        <v>1084</v>
      </c>
      <c r="C79" s="33" t="s">
        <v>1086</v>
      </c>
      <c r="D79" s="26">
        <v>400</v>
      </c>
      <c r="E79" s="34" t="s">
        <v>1115</v>
      </c>
      <c r="F79" s="35" t="s">
        <v>1116</v>
      </c>
      <c r="G79" s="36" t="s">
        <v>1117</v>
      </c>
      <c r="H79" s="36"/>
      <c r="I79" s="36"/>
      <c r="J79" s="36">
        <v>1</v>
      </c>
      <c r="Q79" t="s">
        <v>1461</v>
      </c>
      <c r="R79" t="s">
        <v>1462</v>
      </c>
      <c r="S79" t="s">
        <v>1446</v>
      </c>
      <c r="T79" t="s">
        <v>1447</v>
      </c>
      <c r="U79" t="s">
        <v>1447</v>
      </c>
      <c r="V79" t="s">
        <v>1463</v>
      </c>
      <c r="W79" t="s">
        <v>1464</v>
      </c>
      <c r="X79" t="s">
        <v>1465</v>
      </c>
      <c r="Y79" t="s">
        <v>1316</v>
      </c>
    </row>
    <row r="86" spans="1:25" ht="38.25" x14ac:dyDescent="0.25">
      <c r="A86" s="31" t="s">
        <v>126</v>
      </c>
      <c r="B86" s="32" t="s">
        <v>543</v>
      </c>
      <c r="C86" s="33" t="s">
        <v>1294</v>
      </c>
      <c r="D86" s="26">
        <v>7000</v>
      </c>
      <c r="E86" s="34" t="s">
        <v>1131</v>
      </c>
      <c r="F86" s="35" t="s">
        <v>1132</v>
      </c>
      <c r="G86" s="36" t="s">
        <v>543</v>
      </c>
      <c r="H86" s="36"/>
      <c r="I86" s="36"/>
      <c r="J86" s="36">
        <v>1</v>
      </c>
      <c r="Q86" t="s">
        <v>1480</v>
      </c>
      <c r="R86" t="s">
        <v>1481</v>
      </c>
      <c r="S86" t="s">
        <v>1360</v>
      </c>
      <c r="T86" t="s">
        <v>1361</v>
      </c>
      <c r="V86" t="s">
        <v>1313</v>
      </c>
      <c r="W86" t="s">
        <v>1374</v>
      </c>
      <c r="X86" t="s">
        <v>1482</v>
      </c>
      <c r="Y86" t="s">
        <v>1316</v>
      </c>
    </row>
    <row r="88" spans="1:25" ht="25.5" x14ac:dyDescent="0.25">
      <c r="A88" s="31" t="s">
        <v>309</v>
      </c>
      <c r="B88" s="32" t="s">
        <v>1130</v>
      </c>
      <c r="C88" s="33" t="s">
        <v>98</v>
      </c>
      <c r="D88" s="26">
        <v>8000</v>
      </c>
      <c r="E88" s="34" t="s">
        <v>1223</v>
      </c>
      <c r="F88" s="35" t="s">
        <v>1134</v>
      </c>
      <c r="G88" s="36" t="s">
        <v>1135</v>
      </c>
      <c r="H88" s="36"/>
      <c r="I88" s="36"/>
      <c r="J88" s="36">
        <v>1</v>
      </c>
      <c r="Q88" t="s">
        <v>1486</v>
      </c>
      <c r="R88" t="s">
        <v>1487</v>
      </c>
      <c r="S88" t="s">
        <v>1446</v>
      </c>
      <c r="T88" t="s">
        <v>1447</v>
      </c>
      <c r="U88" t="s">
        <v>1447</v>
      </c>
      <c r="V88" t="s">
        <v>1488</v>
      </c>
      <c r="W88" t="s">
        <v>1314</v>
      </c>
      <c r="X88" t="s">
        <v>1489</v>
      </c>
      <c r="Y88" t="s">
        <v>1316</v>
      </c>
    </row>
    <row r="89" spans="1:25" ht="25.5" x14ac:dyDescent="0.25">
      <c r="A89" s="31" t="s">
        <v>10</v>
      </c>
      <c r="B89" s="32" t="s">
        <v>1216</v>
      </c>
      <c r="C89" s="33" t="s">
        <v>1221</v>
      </c>
      <c r="D89" s="26">
        <v>600</v>
      </c>
      <c r="E89" s="34" t="s">
        <v>1232</v>
      </c>
      <c r="F89" s="35"/>
      <c r="G89" s="36" t="s">
        <v>1104</v>
      </c>
      <c r="H89" s="36"/>
      <c r="I89" s="36"/>
      <c r="J89" s="36"/>
      <c r="Q89" t="s">
        <v>1490</v>
      </c>
      <c r="R89" t="s">
        <v>1462</v>
      </c>
      <c r="S89" t="s">
        <v>1459</v>
      </c>
      <c r="V89" t="s">
        <v>1463</v>
      </c>
      <c r="X89" t="s">
        <v>1491</v>
      </c>
      <c r="Y89" t="s">
        <v>1316</v>
      </c>
    </row>
    <row r="90" spans="1:25" ht="25.5" x14ac:dyDescent="0.25">
      <c r="A90" s="31" t="s">
        <v>103</v>
      </c>
      <c r="B90" s="32" t="s">
        <v>1085</v>
      </c>
      <c r="C90" s="33" t="s">
        <v>1222</v>
      </c>
      <c r="D90" s="26">
        <v>21000</v>
      </c>
      <c r="E90" s="34" t="s">
        <v>1233</v>
      </c>
      <c r="F90" s="35"/>
      <c r="G90" s="36" t="s">
        <v>1104</v>
      </c>
      <c r="H90" s="36">
        <v>15</v>
      </c>
      <c r="I90" s="36">
        <v>21</v>
      </c>
      <c r="J90" s="36"/>
      <c r="Q90" t="s">
        <v>1492</v>
      </c>
      <c r="R90" t="s">
        <v>1493</v>
      </c>
      <c r="S90" t="s">
        <v>1459</v>
      </c>
      <c r="V90" t="s">
        <v>1488</v>
      </c>
      <c r="X90" t="s">
        <v>1491</v>
      </c>
      <c r="Y90" t="s">
        <v>1316</v>
      </c>
    </row>
    <row r="92" spans="1:25" x14ac:dyDescent="0.25">
      <c r="A92" s="31" t="s">
        <v>103</v>
      </c>
      <c r="B92" s="32" t="s">
        <v>1084</v>
      </c>
      <c r="C92" s="33" t="s">
        <v>1217</v>
      </c>
      <c r="D92" s="26">
        <v>13000</v>
      </c>
      <c r="E92" s="34" t="s">
        <v>1218</v>
      </c>
      <c r="F92" s="35"/>
      <c r="G92" s="36" t="s">
        <v>1104</v>
      </c>
      <c r="H92" s="36">
        <v>21</v>
      </c>
      <c r="I92" s="36">
        <v>29.7</v>
      </c>
      <c r="J92" s="36"/>
      <c r="Q92" t="s">
        <v>1496</v>
      </c>
      <c r="S92" t="s">
        <v>1459</v>
      </c>
      <c r="V92" t="s">
        <v>1488</v>
      </c>
      <c r="X92" t="s">
        <v>1491</v>
      </c>
      <c r="Y92" t="s">
        <v>1316</v>
      </c>
    </row>
    <row r="93" spans="1:25" ht="25.5" x14ac:dyDescent="0.25">
      <c r="A93" s="31" t="s">
        <v>103</v>
      </c>
      <c r="B93" s="32" t="s">
        <v>1138</v>
      </c>
      <c r="C93" s="33" t="s">
        <v>1287</v>
      </c>
      <c r="D93" s="26"/>
      <c r="E93" s="34" t="s">
        <v>1234</v>
      </c>
      <c r="F93" s="35"/>
      <c r="G93" s="36" t="s">
        <v>1104</v>
      </c>
      <c r="H93" s="36"/>
      <c r="I93" s="36"/>
      <c r="J93" s="36"/>
      <c r="Q93" t="s">
        <v>1497</v>
      </c>
      <c r="R93" t="s">
        <v>1462</v>
      </c>
      <c r="S93" t="s">
        <v>1459</v>
      </c>
      <c r="V93" t="s">
        <v>1488</v>
      </c>
      <c r="X93" t="s">
        <v>1491</v>
      </c>
    </row>
    <row r="94" spans="1:25" ht="25.5" x14ac:dyDescent="0.25">
      <c r="A94" s="31" t="s">
        <v>103</v>
      </c>
      <c r="B94" s="32" t="s">
        <v>1138</v>
      </c>
      <c r="C94" s="33" t="s">
        <v>1288</v>
      </c>
      <c r="D94" s="26"/>
      <c r="E94" s="34" t="s">
        <v>1235</v>
      </c>
      <c r="F94" s="35"/>
      <c r="G94" s="36" t="s">
        <v>1104</v>
      </c>
      <c r="H94" s="36"/>
      <c r="I94" s="36"/>
      <c r="J94" s="36"/>
      <c r="Q94" t="s">
        <v>1498</v>
      </c>
      <c r="R94" t="s">
        <v>1462</v>
      </c>
      <c r="S94" t="s">
        <v>1459</v>
      </c>
      <c r="V94" t="s">
        <v>1488</v>
      </c>
      <c r="X94" t="s">
        <v>1491</v>
      </c>
    </row>
    <row r="95" spans="1:25" ht="38.25" x14ac:dyDescent="0.25">
      <c r="A95" s="31" t="s">
        <v>103</v>
      </c>
      <c r="B95" s="32" t="s">
        <v>1084</v>
      </c>
      <c r="C95" s="33" t="s">
        <v>114</v>
      </c>
      <c r="D95" s="26"/>
      <c r="E95" s="34" t="s">
        <v>1139</v>
      </c>
      <c r="F95" s="35" t="s">
        <v>1140</v>
      </c>
      <c r="G95" s="36" t="s">
        <v>1104</v>
      </c>
      <c r="H95" s="36"/>
      <c r="I95" s="36"/>
      <c r="J95" s="36"/>
      <c r="Q95" t="s">
        <v>1499</v>
      </c>
      <c r="S95" t="s">
        <v>1459</v>
      </c>
      <c r="V95" t="s">
        <v>1488</v>
      </c>
      <c r="X95" t="s">
        <v>1491</v>
      </c>
    </row>
    <row r="96" spans="1:25" ht="25.5" x14ac:dyDescent="0.25">
      <c r="A96" s="31" t="s">
        <v>103</v>
      </c>
      <c r="B96" s="32" t="s">
        <v>1084</v>
      </c>
      <c r="C96" s="33" t="s">
        <v>116</v>
      </c>
      <c r="D96" s="26"/>
      <c r="E96" s="34" t="s">
        <v>1141</v>
      </c>
      <c r="F96" s="35" t="s">
        <v>1140</v>
      </c>
      <c r="G96" s="36" t="s">
        <v>1104</v>
      </c>
      <c r="H96" s="36"/>
      <c r="I96" s="36"/>
      <c r="J96" s="36"/>
      <c r="Q96" t="s">
        <v>1500</v>
      </c>
      <c r="S96" t="s">
        <v>1459</v>
      </c>
      <c r="V96" t="s">
        <v>1488</v>
      </c>
      <c r="X96" t="s">
        <v>1491</v>
      </c>
    </row>
    <row r="98" spans="1:26" ht="38.25" x14ac:dyDescent="0.25">
      <c r="A98" s="31" t="s">
        <v>103</v>
      </c>
      <c r="B98" s="32" t="s">
        <v>1084</v>
      </c>
      <c r="C98" s="33" t="s">
        <v>120</v>
      </c>
      <c r="D98" s="26"/>
      <c r="E98" s="34" t="s">
        <v>1236</v>
      </c>
      <c r="F98" s="35"/>
      <c r="G98" s="36" t="s">
        <v>1104</v>
      </c>
      <c r="H98" s="36"/>
      <c r="I98" s="36"/>
      <c r="J98" s="36"/>
      <c r="Q98" t="s">
        <v>1505</v>
      </c>
      <c r="S98" t="s">
        <v>1459</v>
      </c>
      <c r="V98" t="s">
        <v>1488</v>
      </c>
      <c r="X98" t="s">
        <v>1491</v>
      </c>
    </row>
    <row r="100" spans="1:26" ht="25.5" x14ac:dyDescent="0.25">
      <c r="A100" s="31" t="s">
        <v>126</v>
      </c>
      <c r="B100" s="32" t="s">
        <v>1130</v>
      </c>
      <c r="C100" s="33" t="s">
        <v>124</v>
      </c>
      <c r="D100" s="26"/>
      <c r="E100" s="34" t="s">
        <v>1237</v>
      </c>
      <c r="F100" s="35"/>
      <c r="G100" s="36" t="s">
        <v>1104</v>
      </c>
      <c r="H100" s="36"/>
      <c r="I100" s="36"/>
      <c r="J100" s="36"/>
      <c r="Q100" t="s">
        <v>1509</v>
      </c>
      <c r="R100" t="s">
        <v>1510</v>
      </c>
      <c r="S100" t="s">
        <v>1459</v>
      </c>
      <c r="V100" t="s">
        <v>1488</v>
      </c>
      <c r="X100" t="s">
        <v>1491</v>
      </c>
    </row>
    <row r="105" spans="1:26" ht="25.5" x14ac:dyDescent="0.25">
      <c r="A105" s="31" t="s">
        <v>126</v>
      </c>
      <c r="B105" s="32" t="s">
        <v>1130</v>
      </c>
      <c r="C105" s="33" t="s">
        <v>135</v>
      </c>
      <c r="D105" s="26">
        <v>9000</v>
      </c>
      <c r="E105" s="34" t="s">
        <v>1150</v>
      </c>
      <c r="F105" s="35" t="s">
        <v>1151</v>
      </c>
      <c r="G105" s="36" t="s">
        <v>543</v>
      </c>
      <c r="H105" s="36"/>
      <c r="I105" s="36"/>
      <c r="J105" s="36">
        <v>1</v>
      </c>
      <c r="Q105" t="s">
        <v>1519</v>
      </c>
      <c r="R105" t="s">
        <v>1383</v>
      </c>
      <c r="S105" t="s">
        <v>1360</v>
      </c>
      <c r="T105" t="s">
        <v>1361</v>
      </c>
      <c r="V105" t="s">
        <v>1313</v>
      </c>
      <c r="W105" t="s">
        <v>1374</v>
      </c>
      <c r="X105" t="s">
        <v>1520</v>
      </c>
      <c r="Y105" t="s">
        <v>1316</v>
      </c>
    </row>
    <row r="109" spans="1:26" ht="25.5" x14ac:dyDescent="0.25">
      <c r="A109" s="31" t="s">
        <v>126</v>
      </c>
      <c r="B109" s="32" t="s">
        <v>1130</v>
      </c>
      <c r="C109" s="33" t="s">
        <v>143</v>
      </c>
      <c r="D109" s="26">
        <v>23000</v>
      </c>
      <c r="E109" s="34" t="s">
        <v>1158</v>
      </c>
      <c r="F109" s="35" t="s">
        <v>1159</v>
      </c>
      <c r="G109" s="36" t="s">
        <v>543</v>
      </c>
      <c r="H109" s="36"/>
      <c r="I109" s="36"/>
      <c r="J109" s="36">
        <v>1</v>
      </c>
      <c r="Q109" t="s">
        <v>1528</v>
      </c>
      <c r="R109" t="s">
        <v>1373</v>
      </c>
      <c r="S109" t="s">
        <v>1360</v>
      </c>
      <c r="T109" t="s">
        <v>1361</v>
      </c>
      <c r="V109" t="s">
        <v>1313</v>
      </c>
      <c r="W109" t="s">
        <v>1374</v>
      </c>
      <c r="X109" t="s">
        <v>1529</v>
      </c>
      <c r="Y109" t="s">
        <v>1316</v>
      </c>
    </row>
    <row r="114" spans="1:25" ht="38.25" x14ac:dyDescent="0.25">
      <c r="A114" s="31" t="s">
        <v>126</v>
      </c>
      <c r="B114" s="32" t="s">
        <v>1130</v>
      </c>
      <c r="C114" s="33" t="s">
        <v>153</v>
      </c>
      <c r="D114" s="26"/>
      <c r="E114" s="34" t="s">
        <v>1289</v>
      </c>
      <c r="F114" s="35" t="s">
        <v>1147</v>
      </c>
      <c r="G114" s="36" t="s">
        <v>543</v>
      </c>
      <c r="H114" s="36"/>
      <c r="I114" s="36"/>
      <c r="J114" s="36">
        <v>1</v>
      </c>
      <c r="Q114" t="s">
        <v>1538</v>
      </c>
      <c r="S114" t="s">
        <v>1360</v>
      </c>
      <c r="T114" t="s">
        <v>1361</v>
      </c>
      <c r="V114" t="s">
        <v>1313</v>
      </c>
      <c r="W114" t="s">
        <v>1374</v>
      </c>
      <c r="X114" t="s">
        <v>1539</v>
      </c>
    </row>
    <row r="117" spans="1:25" ht="25.5" x14ac:dyDescent="0.25">
      <c r="A117" s="31" t="s">
        <v>157</v>
      </c>
      <c r="B117" s="32" t="s">
        <v>1084</v>
      </c>
      <c r="C117" s="33" t="s">
        <v>160</v>
      </c>
      <c r="D117" s="26">
        <v>1900</v>
      </c>
      <c r="E117" s="34" t="s">
        <v>1164</v>
      </c>
      <c r="F117" s="35" t="s">
        <v>1165</v>
      </c>
      <c r="G117" s="36" t="s">
        <v>1089</v>
      </c>
      <c r="H117" s="36">
        <v>21</v>
      </c>
      <c r="I117" s="36">
        <v>29.7</v>
      </c>
      <c r="J117" s="36">
        <v>1</v>
      </c>
      <c r="Q117" t="s">
        <v>1544</v>
      </c>
      <c r="R117" t="s">
        <v>1310</v>
      </c>
      <c r="S117" t="s">
        <v>1403</v>
      </c>
      <c r="T117" t="s">
        <v>1447</v>
      </c>
      <c r="U117" t="s">
        <v>1447</v>
      </c>
      <c r="V117" t="s">
        <v>1313</v>
      </c>
      <c r="W117" t="s">
        <v>1314</v>
      </c>
      <c r="X117" t="s">
        <v>1545</v>
      </c>
      <c r="Y117" t="s">
        <v>1316</v>
      </c>
    </row>
    <row r="118" spans="1:25" ht="25.5" x14ac:dyDescent="0.25">
      <c r="A118" s="31" t="s">
        <v>157</v>
      </c>
      <c r="B118" s="32" t="s">
        <v>1216</v>
      </c>
      <c r="C118" s="33" t="s">
        <v>1220</v>
      </c>
      <c r="D118" s="26"/>
      <c r="E118" s="34" t="s">
        <v>1244</v>
      </c>
      <c r="F118" s="35"/>
      <c r="G118" s="36" t="s">
        <v>1104</v>
      </c>
      <c r="H118" s="36"/>
      <c r="I118" s="36"/>
      <c r="J118" s="36"/>
      <c r="Q118" t="s">
        <v>1546</v>
      </c>
      <c r="R118" t="s">
        <v>1318</v>
      </c>
      <c r="S118" t="s">
        <v>1459</v>
      </c>
      <c r="V118" t="s">
        <v>1488</v>
      </c>
      <c r="X118" t="s">
        <v>1491</v>
      </c>
    </row>
    <row r="122" spans="1:25" ht="51" x14ac:dyDescent="0.25">
      <c r="A122" s="31" t="s">
        <v>157</v>
      </c>
      <c r="B122" s="32" t="s">
        <v>1216</v>
      </c>
      <c r="C122" s="33" t="s">
        <v>171</v>
      </c>
      <c r="D122" s="26"/>
      <c r="E122" s="34" t="s">
        <v>1290</v>
      </c>
      <c r="F122" s="35" t="s">
        <v>1169</v>
      </c>
      <c r="G122" s="36" t="s">
        <v>1104</v>
      </c>
      <c r="H122" s="36"/>
      <c r="I122" s="36"/>
      <c r="J122" s="36"/>
      <c r="Q122" t="s">
        <v>1553</v>
      </c>
      <c r="R122" t="s">
        <v>1318</v>
      </c>
      <c r="S122" t="s">
        <v>1459</v>
      </c>
      <c r="V122" t="s">
        <v>1488</v>
      </c>
      <c r="X122" t="s">
        <v>1491</v>
      </c>
    </row>
    <row r="123" spans="1:25" ht="25.5" x14ac:dyDescent="0.25">
      <c r="A123" s="31" t="s">
        <v>173</v>
      </c>
      <c r="B123" s="32" t="s">
        <v>1216</v>
      </c>
      <c r="C123" s="33" t="s">
        <v>174</v>
      </c>
      <c r="D123" s="26"/>
      <c r="E123" s="34" t="s">
        <v>1291</v>
      </c>
      <c r="F123" s="35"/>
      <c r="G123" s="36" t="s">
        <v>1104</v>
      </c>
      <c r="H123" s="36"/>
      <c r="I123" s="36"/>
      <c r="J123" s="36"/>
      <c r="Q123" t="s">
        <v>1554</v>
      </c>
      <c r="R123" t="s">
        <v>1555</v>
      </c>
      <c r="S123" t="s">
        <v>1459</v>
      </c>
      <c r="V123" t="s">
        <v>1488</v>
      </c>
      <c r="X123" t="s">
        <v>1491</v>
      </c>
    </row>
    <row r="124" spans="1:25" x14ac:dyDescent="0.25">
      <c r="A124" s="31" t="s">
        <v>173</v>
      </c>
      <c r="B124" s="32" t="s">
        <v>1216</v>
      </c>
      <c r="C124" s="33" t="s">
        <v>176</v>
      </c>
      <c r="D124" s="26"/>
      <c r="E124" s="34" t="s">
        <v>1246</v>
      </c>
      <c r="F124" s="35"/>
      <c r="G124" s="36" t="s">
        <v>1104</v>
      </c>
      <c r="H124" s="36"/>
      <c r="I124" s="36"/>
      <c r="J124" s="36"/>
      <c r="Q124" t="s">
        <v>1556</v>
      </c>
      <c r="R124" t="s">
        <v>1555</v>
      </c>
      <c r="S124" t="s">
        <v>1459</v>
      </c>
      <c r="V124" t="s">
        <v>1488</v>
      </c>
      <c r="X124" t="s">
        <v>1491</v>
      </c>
    </row>
    <row r="125" spans="1:25" x14ac:dyDescent="0.25">
      <c r="A125" s="31" t="s">
        <v>173</v>
      </c>
      <c r="B125" s="32" t="s">
        <v>1216</v>
      </c>
      <c r="C125" s="33" t="s">
        <v>178</v>
      </c>
      <c r="D125" s="26"/>
      <c r="E125" s="34" t="s">
        <v>1247</v>
      </c>
      <c r="F125" s="35"/>
      <c r="G125" s="36" t="s">
        <v>1104</v>
      </c>
      <c r="H125" s="36"/>
      <c r="I125" s="36"/>
      <c r="J125" s="36"/>
      <c r="Q125" t="s">
        <v>1557</v>
      </c>
      <c r="R125" t="s">
        <v>1555</v>
      </c>
      <c r="S125" t="s">
        <v>1459</v>
      </c>
      <c r="V125" t="s">
        <v>1488</v>
      </c>
      <c r="X125" t="s">
        <v>1491</v>
      </c>
    </row>
    <row r="126" spans="1:25" x14ac:dyDescent="0.25">
      <c r="A126" s="31" t="s">
        <v>173</v>
      </c>
      <c r="B126" s="32" t="s">
        <v>1216</v>
      </c>
      <c r="C126" s="33" t="s">
        <v>180</v>
      </c>
      <c r="D126" s="26"/>
      <c r="E126" s="34" t="s">
        <v>1248</v>
      </c>
      <c r="F126" s="35"/>
      <c r="G126" s="36" t="s">
        <v>1104</v>
      </c>
      <c r="H126" s="36"/>
      <c r="I126" s="36"/>
      <c r="J126" s="36"/>
      <c r="Q126" t="s">
        <v>1558</v>
      </c>
      <c r="R126" t="s">
        <v>1555</v>
      </c>
      <c r="S126" t="s">
        <v>1459</v>
      </c>
      <c r="V126" t="s">
        <v>1488</v>
      </c>
      <c r="X126" t="s">
        <v>1491</v>
      </c>
    </row>
    <row r="130" spans="1:26" x14ac:dyDescent="0.25">
      <c r="A130" s="31" t="s">
        <v>173</v>
      </c>
      <c r="B130" s="32" t="s">
        <v>1216</v>
      </c>
      <c r="C130" s="33" t="s">
        <v>1219</v>
      </c>
      <c r="D130" s="26"/>
      <c r="E130" s="34" t="s">
        <v>1252</v>
      </c>
      <c r="F130" s="35"/>
      <c r="G130" s="36" t="s">
        <v>1104</v>
      </c>
      <c r="H130" s="36"/>
      <c r="I130" s="36"/>
      <c r="J130" s="36"/>
      <c r="Q130" t="s">
        <v>1565</v>
      </c>
      <c r="R130" t="s">
        <v>1566</v>
      </c>
      <c r="S130" t="s">
        <v>1459</v>
      </c>
      <c r="V130" t="s">
        <v>1488</v>
      </c>
      <c r="X130" t="s">
        <v>1491</v>
      </c>
    </row>
    <row r="140" spans="1:26" ht="25.5" x14ac:dyDescent="0.25">
      <c r="A140" s="31" t="s">
        <v>11</v>
      </c>
      <c r="B140" s="32" t="s">
        <v>1216</v>
      </c>
      <c r="C140" s="33" t="s">
        <v>208</v>
      </c>
      <c r="D140" s="26"/>
      <c r="E140" s="34" t="s">
        <v>1254</v>
      </c>
      <c r="F140" s="35" t="s">
        <v>1255</v>
      </c>
      <c r="G140" s="36" t="s">
        <v>1104</v>
      </c>
      <c r="H140" s="36"/>
      <c r="I140" s="36"/>
      <c r="J140" s="36"/>
      <c r="Q140" t="s">
        <v>1589</v>
      </c>
      <c r="S140" t="s">
        <v>1459</v>
      </c>
      <c r="V140" t="s">
        <v>1503</v>
      </c>
      <c r="X140" t="s">
        <v>1491</v>
      </c>
    </row>
    <row r="161" spans="1:26" x14ac:dyDescent="0.25">
      <c r="A161" s="31" t="s">
        <v>232</v>
      </c>
      <c r="B161" s="32" t="s">
        <v>1216</v>
      </c>
      <c r="C161" s="33" t="s">
        <v>252</v>
      </c>
      <c r="D161" s="26"/>
      <c r="E161" s="34" t="s">
        <v>1273</v>
      </c>
      <c r="F161" s="35"/>
      <c r="G161" s="36" t="s">
        <v>1104</v>
      </c>
      <c r="H161" s="36"/>
      <c r="I161" s="36"/>
      <c r="J161" s="36">
        <v>1</v>
      </c>
      <c r="Q161" t="s">
        <v>1621</v>
      </c>
      <c r="S161" t="s">
        <v>1459</v>
      </c>
      <c r="V161" t="s">
        <v>1488</v>
      </c>
      <c r="X161" t="s">
        <v>1491</v>
      </c>
    </row>
    <row r="162" spans="1:26" x14ac:dyDescent="0.25">
      <c r="A162" s="31" t="s">
        <v>232</v>
      </c>
      <c r="B162" s="32" t="s">
        <v>1216</v>
      </c>
      <c r="C162" s="33" t="s">
        <v>254</v>
      </c>
      <c r="D162" s="26"/>
      <c r="E162" s="34" t="s">
        <v>1274</v>
      </c>
      <c r="F162" s="35"/>
      <c r="G162" s="36" t="s">
        <v>1104</v>
      </c>
      <c r="H162" s="36"/>
      <c r="I162" s="36"/>
      <c r="J162" s="36">
        <v>1</v>
      </c>
      <c r="Q162" t="s">
        <v>1622</v>
      </c>
      <c r="S162" t="s">
        <v>1459</v>
      </c>
      <c r="V162" t="s">
        <v>1488</v>
      </c>
      <c r="X162" t="s">
        <v>1491</v>
      </c>
    </row>
    <row r="163" spans="1:26" x14ac:dyDescent="0.25">
      <c r="A163" s="31" t="s">
        <v>232</v>
      </c>
      <c r="B163" s="32" t="s">
        <v>1216</v>
      </c>
      <c r="C163" s="33" t="s">
        <v>256</v>
      </c>
      <c r="D163" s="26"/>
      <c r="E163" s="34" t="s">
        <v>1275</v>
      </c>
      <c r="F163" s="35"/>
      <c r="G163" s="36" t="s">
        <v>1104</v>
      </c>
      <c r="H163" s="36"/>
      <c r="I163" s="36"/>
      <c r="J163" s="36">
        <v>1</v>
      </c>
      <c r="Q163" t="s">
        <v>1623</v>
      </c>
      <c r="S163" t="s">
        <v>1459</v>
      </c>
      <c r="V163" t="s">
        <v>1488</v>
      </c>
      <c r="X163" t="s">
        <v>1491</v>
      </c>
    </row>
    <row r="164" spans="1:26" ht="38.25" x14ac:dyDescent="0.25">
      <c r="A164" s="31" t="s">
        <v>232</v>
      </c>
      <c r="B164" s="32" t="s">
        <v>1216</v>
      </c>
      <c r="C164" s="33" t="s">
        <v>258</v>
      </c>
      <c r="D164" s="26">
        <v>8500</v>
      </c>
      <c r="E164" s="34" t="s">
        <v>1190</v>
      </c>
      <c r="F164" s="35" t="s">
        <v>1191</v>
      </c>
      <c r="G164" s="36" t="s">
        <v>1108</v>
      </c>
      <c r="H164" s="36"/>
      <c r="I164" s="36"/>
      <c r="J164" s="36">
        <v>1</v>
      </c>
      <c r="Q164" t="s">
        <v>1624</v>
      </c>
      <c r="R164" t="s">
        <v>1625</v>
      </c>
      <c r="S164" t="s">
        <v>1446</v>
      </c>
      <c r="T164" t="s">
        <v>1447</v>
      </c>
      <c r="U164" t="s">
        <v>1447</v>
      </c>
      <c r="V164" t="s">
        <v>1488</v>
      </c>
      <c r="W164" t="s">
        <v>1314</v>
      </c>
      <c r="X164" t="s">
        <v>1626</v>
      </c>
      <c r="Y164" t="s">
        <v>1316</v>
      </c>
    </row>
    <row r="168" spans="1:26" ht="38.25" x14ac:dyDescent="0.25">
      <c r="A168" s="31" t="s">
        <v>266</v>
      </c>
      <c r="B168" s="32" t="s">
        <v>1216</v>
      </c>
      <c r="C168" s="33" t="s">
        <v>267</v>
      </c>
      <c r="D168" s="26"/>
      <c r="E168" s="34" t="s">
        <v>1279</v>
      </c>
      <c r="F168" s="35" t="s">
        <v>1192</v>
      </c>
      <c r="G168" s="36" t="s">
        <v>1104</v>
      </c>
      <c r="H168" s="36"/>
      <c r="I168" s="36"/>
      <c r="J168" s="36"/>
      <c r="Q168" t="s">
        <v>1632</v>
      </c>
      <c r="R168" t="s">
        <v>1633</v>
      </c>
      <c r="S168" t="s">
        <v>1459</v>
      </c>
      <c r="V168" t="s">
        <v>1488</v>
      </c>
      <c r="X168" t="s">
        <v>1491</v>
      </c>
    </row>
    <row r="169" spans="1:26" ht="25.5" x14ac:dyDescent="0.25">
      <c r="A169" s="31" t="s">
        <v>266</v>
      </c>
      <c r="B169" s="32" t="s">
        <v>1216</v>
      </c>
      <c r="C169" s="33" t="s">
        <v>269</v>
      </c>
      <c r="D169" s="26"/>
      <c r="E169" s="34" t="s">
        <v>1280</v>
      </c>
      <c r="F169" s="35" t="s">
        <v>1192</v>
      </c>
      <c r="G169" s="36" t="s">
        <v>1104</v>
      </c>
      <c r="H169" s="36"/>
      <c r="I169" s="36"/>
      <c r="J169" s="36"/>
      <c r="Q169" t="s">
        <v>1634</v>
      </c>
      <c r="R169" t="s">
        <v>1633</v>
      </c>
      <c r="S169" t="s">
        <v>1459</v>
      </c>
      <c r="V169" t="s">
        <v>1488</v>
      </c>
      <c r="X169" t="s">
        <v>1491</v>
      </c>
    </row>
    <row r="170" spans="1:26" x14ac:dyDescent="0.25">
      <c r="A170" s="31" t="s">
        <v>266</v>
      </c>
      <c r="B170" s="32" t="s">
        <v>1216</v>
      </c>
      <c r="C170" s="33" t="s">
        <v>271</v>
      </c>
      <c r="D170" s="26"/>
      <c r="E170" s="34" t="s">
        <v>1281</v>
      </c>
      <c r="F170" s="35" t="s">
        <v>1192</v>
      </c>
      <c r="G170" s="36" t="s">
        <v>1104</v>
      </c>
      <c r="H170" s="36"/>
      <c r="I170" s="36"/>
      <c r="J170" s="36"/>
      <c r="Q170" t="s">
        <v>1635</v>
      </c>
      <c r="R170" t="s">
        <v>1633</v>
      </c>
      <c r="S170" t="s">
        <v>1459</v>
      </c>
      <c r="V170" t="s">
        <v>1488</v>
      </c>
      <c r="X170" t="s">
        <v>1491</v>
      </c>
    </row>
    <row r="172" spans="1:26" x14ac:dyDescent="0.25">
      <c r="A172" s="31" t="s">
        <v>266</v>
      </c>
      <c r="B172" s="32" t="s">
        <v>1130</v>
      </c>
      <c r="C172" s="33" t="s">
        <v>275</v>
      </c>
      <c r="D172" s="26"/>
      <c r="E172" s="34" t="s">
        <v>1231</v>
      </c>
      <c r="F172" s="35"/>
      <c r="G172" s="36" t="s">
        <v>1104</v>
      </c>
      <c r="H172" s="36"/>
      <c r="I172" s="36"/>
      <c r="J172" s="36"/>
      <c r="Q172" t="s">
        <v>1638</v>
      </c>
      <c r="S172" t="s">
        <v>1459</v>
      </c>
      <c r="V172" t="s">
        <v>1488</v>
      </c>
      <c r="X172" t="s">
        <v>1491</v>
      </c>
    </row>
    <row r="173" spans="1:26" x14ac:dyDescent="0.25">
      <c r="A173" s="31" t="s">
        <v>266</v>
      </c>
      <c r="B173" s="32" t="s">
        <v>1130</v>
      </c>
      <c r="C173" s="33" t="s">
        <v>277</v>
      </c>
      <c r="D173" s="26"/>
      <c r="E173" s="34" t="s">
        <v>1282</v>
      </c>
      <c r="F173" s="35"/>
      <c r="G173" s="36" t="s">
        <v>1104</v>
      </c>
      <c r="H173" s="36"/>
      <c r="I173" s="36"/>
      <c r="J173" s="36"/>
      <c r="Q173" t="s">
        <v>1639</v>
      </c>
      <c r="S173" t="s">
        <v>1459</v>
      </c>
      <c r="V173" t="s">
        <v>1488</v>
      </c>
      <c r="X173" t="s">
        <v>1491</v>
      </c>
    </row>
    <row r="174" spans="1:26" x14ac:dyDescent="0.25">
      <c r="A174" s="31" t="s">
        <v>266</v>
      </c>
      <c r="B174" s="32" t="s">
        <v>1130</v>
      </c>
      <c r="C174" s="33" t="s">
        <v>279</v>
      </c>
      <c r="D174" s="26"/>
      <c r="E174" s="34" t="s">
        <v>1283</v>
      </c>
      <c r="F174" s="35"/>
      <c r="G174" s="36" t="s">
        <v>1104</v>
      </c>
      <c r="H174" s="36"/>
      <c r="I174" s="36"/>
      <c r="J174" s="36"/>
      <c r="Q174" t="s">
        <v>1640</v>
      </c>
      <c r="R174" t="s">
        <v>1641</v>
      </c>
      <c r="S174" t="s">
        <v>1459</v>
      </c>
      <c r="V174" t="s">
        <v>1488</v>
      </c>
      <c r="X174" t="s">
        <v>1491</v>
      </c>
    </row>
    <row r="175" spans="1:26" x14ac:dyDescent="0.25">
      <c r="A175" s="31" t="s">
        <v>266</v>
      </c>
      <c r="B175" s="32" t="s">
        <v>1130</v>
      </c>
      <c r="C175" s="33" t="s">
        <v>281</v>
      </c>
      <c r="D175" s="26"/>
      <c r="E175" s="34" t="s">
        <v>1284</v>
      </c>
      <c r="F175" s="35"/>
      <c r="G175" s="36" t="s">
        <v>1104</v>
      </c>
      <c r="H175" s="36"/>
      <c r="I175" s="36"/>
      <c r="J175" s="36"/>
      <c r="Q175" t="s">
        <v>1642</v>
      </c>
      <c r="S175" t="s">
        <v>1459</v>
      </c>
      <c r="V175" t="s">
        <v>1488</v>
      </c>
      <c r="X175" t="s">
        <v>1491</v>
      </c>
    </row>
    <row r="177" spans="1:26" ht="25.5" x14ac:dyDescent="0.25">
      <c r="A177" s="31" t="s">
        <v>266</v>
      </c>
      <c r="B177" s="32" t="s">
        <v>1130</v>
      </c>
      <c r="C177" s="33" t="s">
        <v>286</v>
      </c>
      <c r="D177" s="26">
        <v>34000</v>
      </c>
      <c r="E177" s="34" t="s">
        <v>1230</v>
      </c>
      <c r="F177" s="35"/>
      <c r="G177" s="36" t="s">
        <v>543</v>
      </c>
      <c r="H177" s="36"/>
      <c r="I177" s="36"/>
      <c r="J177" s="36">
        <v>1</v>
      </c>
      <c r="Q177" t="s">
        <v>1645</v>
      </c>
      <c r="S177" t="s">
        <v>1360</v>
      </c>
      <c r="T177" t="s">
        <v>1361</v>
      </c>
      <c r="V177" t="s">
        <v>1488</v>
      </c>
      <c r="W177" t="s">
        <v>1314</v>
      </c>
      <c r="X177" t="s">
        <v>1646</v>
      </c>
      <c r="Y177" t="s">
        <v>1316</v>
      </c>
    </row>
    <row r="178" spans="1:26" ht="25.5" x14ac:dyDescent="0.25">
      <c r="A178" s="31" t="s">
        <v>266</v>
      </c>
      <c r="B178" s="32" t="s">
        <v>1130</v>
      </c>
      <c r="C178" s="33" t="s">
        <v>288</v>
      </c>
      <c r="D178" s="26"/>
      <c r="E178" s="34" t="s">
        <v>1229</v>
      </c>
      <c r="F178" s="35"/>
      <c r="G178" s="36" t="s">
        <v>1104</v>
      </c>
      <c r="H178" s="36"/>
      <c r="I178" s="36"/>
      <c r="J178" s="36"/>
      <c r="Q178" t="s">
        <v>1647</v>
      </c>
      <c r="S178" t="s">
        <v>1459</v>
      </c>
      <c r="V178" t="s">
        <v>1488</v>
      </c>
      <c r="X178" t="s">
        <v>1491</v>
      </c>
    </row>
    <row r="181" spans="1:26" ht="25.5" x14ac:dyDescent="0.25">
      <c r="A181" s="31" t="s">
        <v>290</v>
      </c>
      <c r="B181" s="32" t="s">
        <v>1216</v>
      </c>
      <c r="C181" s="33" t="s">
        <v>295</v>
      </c>
      <c r="D181" s="26"/>
      <c r="E181" s="34" t="s">
        <v>1285</v>
      </c>
      <c r="F181" s="35"/>
      <c r="G181" s="36" t="s">
        <v>1104</v>
      </c>
      <c r="H181" s="36"/>
      <c r="I181" s="36"/>
      <c r="J181" s="36"/>
      <c r="Q181" t="s">
        <v>1652</v>
      </c>
      <c r="S181" t="s">
        <v>1459</v>
      </c>
      <c r="V181" t="s">
        <v>1488</v>
      </c>
      <c r="X181" t="s">
        <v>1491</v>
      </c>
    </row>
    <row r="185" spans="1:26" x14ac:dyDescent="0.25">
      <c r="A185" s="31" t="s">
        <v>290</v>
      </c>
      <c r="B185" s="32" t="s">
        <v>1216</v>
      </c>
      <c r="C185" s="33" t="s">
        <v>303</v>
      </c>
      <c r="D185" s="26"/>
      <c r="E185" s="34" t="s">
        <v>1227</v>
      </c>
      <c r="F185" s="35"/>
      <c r="G185" s="36" t="s">
        <v>1104</v>
      </c>
      <c r="H185" s="36"/>
      <c r="I185" s="36"/>
      <c r="J185" s="36"/>
      <c r="Q185" t="s">
        <v>1659</v>
      </c>
      <c r="R185" t="s">
        <v>1660</v>
      </c>
      <c r="S185" t="s">
        <v>1459</v>
      </c>
      <c r="V185" t="s">
        <v>1488</v>
      </c>
      <c r="X185" t="s">
        <v>1491</v>
      </c>
    </row>
    <row r="187" spans="1:26" x14ac:dyDescent="0.25">
      <c r="A187" s="31" t="s">
        <v>1215</v>
      </c>
      <c r="B187" t="s">
        <v>1737</v>
      </c>
      <c r="C187" s="33" t="s">
        <v>326</v>
      </c>
      <c r="D187">
        <v>3000</v>
      </c>
      <c r="E187" t="s">
        <v>1738</v>
      </c>
      <c r="F187" t="s">
        <v>1739</v>
      </c>
      <c r="G187" t="s">
        <v>1089</v>
      </c>
      <c r="H187" s="36"/>
      <c r="I187" s="36"/>
      <c r="J187">
        <v>1</v>
      </c>
      <c r="Q187" t="s">
        <v>1662</v>
      </c>
      <c r="S187" t="s">
        <v>1740</v>
      </c>
      <c r="T187">
        <v>1</v>
      </c>
      <c r="U187">
        <v>1</v>
      </c>
      <c r="V187" t="s">
        <v>1741</v>
      </c>
      <c r="X187" t="s">
        <v>1742</v>
      </c>
      <c r="Y187" t="s">
        <v>1316</v>
      </c>
      <c r="Z187" t="s">
        <v>1743</v>
      </c>
    </row>
    <row r="188" spans="1:26" ht="25.5" x14ac:dyDescent="0.25">
      <c r="A188" s="31" t="s">
        <v>1296</v>
      </c>
      <c r="B188" s="32" t="s">
        <v>1216</v>
      </c>
      <c r="C188" s="33" t="s">
        <v>1297</v>
      </c>
      <c r="D188" s="26">
        <v>1800</v>
      </c>
      <c r="E188" s="34" t="s">
        <v>1298</v>
      </c>
      <c r="F188" s="35"/>
      <c r="G188" s="36" t="s">
        <v>1104</v>
      </c>
      <c r="H188" s="36"/>
      <c r="I188" s="36"/>
      <c r="J188" s="36"/>
      <c r="Q188" t="s">
        <v>1663</v>
      </c>
      <c r="R188" t="s">
        <v>1462</v>
      </c>
      <c r="S188" t="s">
        <v>1459</v>
      </c>
      <c r="V188" t="s">
        <v>1488</v>
      </c>
      <c r="X188" t="s">
        <v>1491</v>
      </c>
      <c r="Y188" t="s">
        <v>1316</v>
      </c>
    </row>
    <row r="194" spans="1:26" x14ac:dyDescent="0.25">
      <c r="A194" t="s">
        <v>126</v>
      </c>
      <c r="B194" t="s">
        <v>1773</v>
      </c>
      <c r="C194" t="s">
        <v>1774</v>
      </c>
      <c r="D194">
        <v>61360</v>
      </c>
      <c r="E194" t="s">
        <v>1775</v>
      </c>
      <c r="F194" t="s">
        <v>1776</v>
      </c>
      <c r="G194" t="s">
        <v>1089</v>
      </c>
      <c r="H194">
        <v>190</v>
      </c>
      <c r="I194">
        <v>90</v>
      </c>
      <c r="J194">
        <v>1</v>
      </c>
      <c r="Q194" t="s">
        <v>1777</v>
      </c>
      <c r="R194" t="s">
        <v>1778</v>
      </c>
      <c r="S194" t="s">
        <v>1403</v>
      </c>
      <c r="T194">
        <v>1</v>
      </c>
      <c r="U194">
        <v>1</v>
      </c>
      <c r="V194" t="s">
        <v>1779</v>
      </c>
      <c r="W194" t="s">
        <v>1780</v>
      </c>
      <c r="X194" t="s">
        <v>1781</v>
      </c>
      <c r="Y194" t="s">
        <v>1316</v>
      </c>
      <c r="Z194" t="s">
        <v>1782</v>
      </c>
    </row>
    <row r="195" spans="1:26" x14ac:dyDescent="0.25">
      <c r="A195" t="s">
        <v>126</v>
      </c>
      <c r="B195" t="s">
        <v>1783</v>
      </c>
      <c r="C195" t="s">
        <v>1784</v>
      </c>
      <c r="D195">
        <v>65200</v>
      </c>
      <c r="E195" t="s">
        <v>1785</v>
      </c>
      <c r="F195" t="s">
        <v>1786</v>
      </c>
      <c r="G195" t="s">
        <v>1089</v>
      </c>
      <c r="H195">
        <v>200</v>
      </c>
      <c r="I195">
        <v>85</v>
      </c>
      <c r="J195">
        <v>1</v>
      </c>
      <c r="Q195" t="s">
        <v>1787</v>
      </c>
      <c r="R195" t="s">
        <v>1778</v>
      </c>
      <c r="S195" t="s">
        <v>1403</v>
      </c>
      <c r="T195">
        <v>1</v>
      </c>
      <c r="U195">
        <v>1</v>
      </c>
      <c r="V195" t="s">
        <v>1779</v>
      </c>
      <c r="W195" t="s">
        <v>1780</v>
      </c>
      <c r="X195" t="s">
        <v>1788</v>
      </c>
      <c r="Y195" t="s">
        <v>1316</v>
      </c>
      <c r="Z195" t="s">
        <v>1782</v>
      </c>
    </row>
  </sheetData>
  <autoFilter ref="A16:P187" xr:uid="{75CFAEE1-F5CF-4673-8998-5FD3FA6F2C1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8D8-7BC6-4B16-ABE4-3455506B32EB}">
  <dimension ref="A1:F9"/>
  <sheetViews>
    <sheetView workbookViewId="0"/>
  </sheetViews>
  <sheetFormatPr baseColWidth="10" defaultRowHeight="15" x14ac:dyDescent="0.25"/>
  <cols>
    <col min="1" max="1" width="46.7109375" customWidth="1"/>
    <col min="2" max="2" width="12.7109375" customWidth="1"/>
    <col min="3" max="4" width="20.7109375" customWidth="1"/>
    <col min="5" max="5" width="68.7109375" customWidth="1"/>
    <col min="6" max="6" width="16.7109375" customWidth="1"/>
  </cols>
  <sheetData>
    <row r="1" spans="1:6" ht="32.1" customHeight="1" x14ac:dyDescent="0.25">
      <c r="A1" s="18" t="s">
        <v>336</v>
      </c>
      <c r="B1" s="18" t="s">
        <v>337</v>
      </c>
      <c r="C1" s="18" t="s">
        <v>338</v>
      </c>
      <c r="D1" s="18" t="s">
        <v>339</v>
      </c>
      <c r="E1" s="18" t="s">
        <v>340</v>
      </c>
      <c r="F1" s="18" t="s">
        <v>341</v>
      </c>
    </row>
    <row r="2" spans="1:6" ht="25.5" x14ac:dyDescent="0.25">
      <c r="A2" s="16" t="s">
        <v>342</v>
      </c>
      <c r="B2" s="19">
        <v>1</v>
      </c>
      <c r="C2" s="19">
        <v>88</v>
      </c>
      <c r="D2" s="6" t="s">
        <v>79</v>
      </c>
      <c r="E2" s="7" t="s">
        <v>343</v>
      </c>
      <c r="F2" s="17"/>
    </row>
    <row r="3" spans="1:6" x14ac:dyDescent="0.25">
      <c r="A3" s="16" t="s">
        <v>344</v>
      </c>
      <c r="B3" s="19">
        <v>1</v>
      </c>
      <c r="C3" s="19">
        <v>2400</v>
      </c>
      <c r="D3" s="6" t="s">
        <v>102</v>
      </c>
      <c r="E3" s="7" t="s">
        <v>345</v>
      </c>
      <c r="F3" s="17"/>
    </row>
    <row r="4" spans="1:6" ht="38.25" x14ac:dyDescent="0.25">
      <c r="A4" s="16" t="s">
        <v>346</v>
      </c>
      <c r="B4" s="19">
        <v>2</v>
      </c>
      <c r="C4" s="19" t="s">
        <v>347</v>
      </c>
      <c r="D4" s="6" t="s">
        <v>348</v>
      </c>
      <c r="E4" s="7" t="s">
        <v>349</v>
      </c>
      <c r="F4" s="17"/>
    </row>
    <row r="5" spans="1:6" x14ac:dyDescent="0.25">
      <c r="A5" s="16" t="s">
        <v>350</v>
      </c>
      <c r="B5" s="19">
        <v>1</v>
      </c>
      <c r="C5" s="19">
        <v>1800</v>
      </c>
      <c r="D5" s="6" t="s">
        <v>351</v>
      </c>
      <c r="E5" s="7" t="s">
        <v>352</v>
      </c>
      <c r="F5" s="17"/>
    </row>
    <row r="6" spans="1:6" x14ac:dyDescent="0.25">
      <c r="A6" s="16" t="s">
        <v>353</v>
      </c>
      <c r="B6" s="19">
        <v>1</v>
      </c>
      <c r="C6" s="19">
        <v>2500</v>
      </c>
      <c r="D6" s="6" t="s">
        <v>351</v>
      </c>
      <c r="E6" s="7" t="s">
        <v>354</v>
      </c>
      <c r="F6" s="17"/>
    </row>
    <row r="7" spans="1:6" x14ac:dyDescent="0.25">
      <c r="A7" s="16" t="s">
        <v>355</v>
      </c>
      <c r="B7" s="19">
        <v>1</v>
      </c>
      <c r="C7" s="19">
        <v>2900</v>
      </c>
      <c r="D7" s="6" t="s">
        <v>102</v>
      </c>
      <c r="E7" s="7" t="s">
        <v>356</v>
      </c>
      <c r="F7" s="17"/>
    </row>
    <row r="8" spans="1:6" x14ac:dyDescent="0.25">
      <c r="A8" s="16" t="s">
        <v>357</v>
      </c>
      <c r="B8" s="19">
        <v>1</v>
      </c>
      <c r="C8" s="19">
        <v>2600</v>
      </c>
      <c r="D8" s="6" t="s">
        <v>102</v>
      </c>
      <c r="E8" s="7" t="s">
        <v>358</v>
      </c>
      <c r="F8" s="17"/>
    </row>
    <row r="9" spans="1:6" x14ac:dyDescent="0.25">
      <c r="A9" s="16" t="s">
        <v>359</v>
      </c>
      <c r="B9" s="19">
        <v>1</v>
      </c>
      <c r="C9" s="19">
        <v>30000</v>
      </c>
      <c r="D9" s="6" t="s">
        <v>94</v>
      </c>
      <c r="E9" s="7" t="s">
        <v>360</v>
      </c>
      <c r="F9" s="17"/>
    </row>
  </sheetData>
  <dataValidations count="1">
    <dataValidation type="list" allowBlank="1" showInputMessage="1" showErrorMessage="1" sqref="F2:F9" xr:uid="{42771168-B140-446C-8736-6F2FAC3A10DF}">
      <mc:AlternateContent xmlns:x12ac="http://schemas.microsoft.com/office/spreadsheetml/2011/1/ac" xmlns:mc="http://schemas.openxmlformats.org/markup-compatibility/2006">
        <mc:Choice Requires="x12ac">
          <x12ac:list>"Sí,No"</x12ac:list>
        </mc:Choice>
        <mc:Fallback>
          <formula1>"Sí,No"</formula1>
        </mc:Fallback>
      </mc:AlternateContent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FACF-E557-46CA-883B-349248539981}">
  <dimension ref="A1:J10"/>
  <sheetViews>
    <sheetView workbookViewId="0"/>
  </sheetViews>
  <sheetFormatPr baseColWidth="10" defaultRowHeight="15" x14ac:dyDescent="0.25"/>
  <cols>
    <col min="1" max="1" width="16.7109375" customWidth="1"/>
    <col min="2" max="2" width="12.7109375" customWidth="1"/>
    <col min="3" max="3" width="30.7109375" customWidth="1"/>
    <col min="4" max="4" width="14.7109375" customWidth="1"/>
    <col min="5" max="5" width="48.7109375" customWidth="1"/>
    <col min="6" max="6" width="16.7109375" customWidth="1"/>
    <col min="7" max="7" width="8.7109375" customWidth="1"/>
    <col min="8" max="8" width="14.7109375" customWidth="1"/>
    <col min="9" max="9" width="60.7109375" customWidth="1"/>
    <col min="10" max="10" width="40.7109375" customWidth="1"/>
  </cols>
  <sheetData>
    <row r="1" spans="1:10" ht="32.1" customHeight="1" x14ac:dyDescent="0.25">
      <c r="A1" s="18" t="s">
        <v>361</v>
      </c>
      <c r="B1" s="18" t="s">
        <v>362</v>
      </c>
      <c r="C1" s="18" t="s">
        <v>363</v>
      </c>
      <c r="D1" s="18" t="s">
        <v>364</v>
      </c>
      <c r="E1" s="18" t="s">
        <v>365</v>
      </c>
      <c r="F1" s="18" t="s">
        <v>366</v>
      </c>
      <c r="G1" s="18" t="s">
        <v>367</v>
      </c>
      <c r="H1" s="18" t="s">
        <v>368</v>
      </c>
      <c r="I1" s="18" t="s">
        <v>369</v>
      </c>
      <c r="J1" s="18" t="s">
        <v>370</v>
      </c>
    </row>
    <row r="2" spans="1:10" x14ac:dyDescent="0.25">
      <c r="A2" s="21" t="s">
        <v>407</v>
      </c>
      <c r="B2" s="21" t="s">
        <v>408</v>
      </c>
      <c r="C2" s="6" t="s">
        <v>371</v>
      </c>
      <c r="D2" s="6" t="s">
        <v>372</v>
      </c>
      <c r="E2" s="7" t="s">
        <v>342</v>
      </c>
      <c r="F2" s="14">
        <v>88</v>
      </c>
      <c r="G2" s="19">
        <v>207</v>
      </c>
      <c r="H2" s="14">
        <v>18216</v>
      </c>
      <c r="I2" s="7"/>
      <c r="J2" s="20" t="s">
        <v>373</v>
      </c>
    </row>
    <row r="3" spans="1:10" x14ac:dyDescent="0.25">
      <c r="A3" s="21" t="s">
        <v>407</v>
      </c>
      <c r="B3" s="21" t="s">
        <v>408</v>
      </c>
      <c r="C3" s="6" t="s">
        <v>371</v>
      </c>
      <c r="D3" s="6" t="s">
        <v>372</v>
      </c>
      <c r="E3" s="7" t="s">
        <v>344</v>
      </c>
      <c r="F3" s="14">
        <v>2400</v>
      </c>
      <c r="G3" s="19">
        <v>3</v>
      </c>
      <c r="H3" s="14">
        <v>7200</v>
      </c>
      <c r="I3" s="7"/>
      <c r="J3" s="20" t="s">
        <v>374</v>
      </c>
    </row>
    <row r="4" spans="1:10" ht="25.5" x14ac:dyDescent="0.25">
      <c r="A4" s="21" t="s">
        <v>409</v>
      </c>
      <c r="B4" s="21" t="s">
        <v>375</v>
      </c>
      <c r="C4" s="6" t="s">
        <v>376</v>
      </c>
      <c r="D4" s="6" t="s">
        <v>372</v>
      </c>
      <c r="E4" s="7" t="s">
        <v>346</v>
      </c>
      <c r="F4" s="14">
        <v>34000</v>
      </c>
      <c r="G4" s="19">
        <v>0.55000000000000004</v>
      </c>
      <c r="H4" s="14">
        <v>18700</v>
      </c>
      <c r="I4" s="7" t="s">
        <v>377</v>
      </c>
      <c r="J4" s="20" t="s">
        <v>378</v>
      </c>
    </row>
    <row r="5" spans="1:10" x14ac:dyDescent="0.25">
      <c r="A5" s="21" t="s">
        <v>410</v>
      </c>
      <c r="B5" s="21" t="s">
        <v>379</v>
      </c>
      <c r="C5" s="6" t="s">
        <v>380</v>
      </c>
      <c r="D5" s="6" t="s">
        <v>381</v>
      </c>
      <c r="E5" s="7" t="s">
        <v>350</v>
      </c>
      <c r="F5" s="14">
        <v>1800</v>
      </c>
      <c r="G5" s="19">
        <v>1</v>
      </c>
      <c r="H5" s="14">
        <v>1800</v>
      </c>
      <c r="I5" s="7"/>
      <c r="J5" s="20" t="s">
        <v>382</v>
      </c>
    </row>
    <row r="6" spans="1:10" ht="25.5" x14ac:dyDescent="0.25">
      <c r="A6" s="21" t="s">
        <v>411</v>
      </c>
      <c r="B6" s="21" t="s">
        <v>379</v>
      </c>
      <c r="C6" s="6" t="s">
        <v>383</v>
      </c>
      <c r="D6" s="6" t="s">
        <v>384</v>
      </c>
      <c r="E6" s="7" t="s">
        <v>355</v>
      </c>
      <c r="F6" s="14">
        <v>2900</v>
      </c>
      <c r="G6" s="19">
        <v>2</v>
      </c>
      <c r="H6" s="14">
        <v>5800</v>
      </c>
      <c r="I6" s="7" t="s">
        <v>385</v>
      </c>
      <c r="J6" s="20" t="s">
        <v>386</v>
      </c>
    </row>
    <row r="7" spans="1:10" ht="25.5" x14ac:dyDescent="0.25">
      <c r="A7" s="21" t="s">
        <v>411</v>
      </c>
      <c r="B7" s="21" t="s">
        <v>379</v>
      </c>
      <c r="C7" s="6" t="s">
        <v>383</v>
      </c>
      <c r="D7" s="6" t="s">
        <v>384</v>
      </c>
      <c r="E7" s="7" t="s">
        <v>353</v>
      </c>
      <c r="F7" s="14">
        <v>2500</v>
      </c>
      <c r="G7" s="19">
        <v>3</v>
      </c>
      <c r="H7" s="14">
        <v>7500</v>
      </c>
      <c r="I7" s="7" t="s">
        <v>387</v>
      </c>
      <c r="J7" s="20" t="s">
        <v>388</v>
      </c>
    </row>
    <row r="8" spans="1:10" x14ac:dyDescent="0.25">
      <c r="A8" s="21" t="s">
        <v>412</v>
      </c>
      <c r="B8" s="21" t="s">
        <v>379</v>
      </c>
      <c r="C8" s="6" t="s">
        <v>389</v>
      </c>
      <c r="D8" s="6" t="s">
        <v>381</v>
      </c>
      <c r="E8" s="7" t="s">
        <v>357</v>
      </c>
      <c r="F8" s="14">
        <v>2600</v>
      </c>
      <c r="G8" s="19">
        <v>1</v>
      </c>
      <c r="H8" s="14">
        <v>2600</v>
      </c>
      <c r="I8" s="7"/>
      <c r="J8" s="20" t="s">
        <v>390</v>
      </c>
    </row>
    <row r="9" spans="1:10" ht="38.25" x14ac:dyDescent="0.25">
      <c r="A9" s="21" t="s">
        <v>413</v>
      </c>
      <c r="B9" s="21" t="s">
        <v>379</v>
      </c>
      <c r="C9" s="6" t="s">
        <v>391</v>
      </c>
      <c r="D9" s="6" t="s">
        <v>384</v>
      </c>
      <c r="E9" s="7" t="s">
        <v>359</v>
      </c>
      <c r="F9" s="14">
        <v>30000</v>
      </c>
      <c r="G9" s="19">
        <v>1</v>
      </c>
      <c r="H9" s="14">
        <v>30000</v>
      </c>
      <c r="I9" s="7" t="s">
        <v>392</v>
      </c>
      <c r="J9" s="20" t="s">
        <v>393</v>
      </c>
    </row>
    <row r="10" spans="1:10" ht="38.25" x14ac:dyDescent="0.25">
      <c r="A10" s="21" t="s">
        <v>414</v>
      </c>
      <c r="B10" s="21" t="s">
        <v>379</v>
      </c>
      <c r="C10" s="6" t="s">
        <v>394</v>
      </c>
      <c r="D10" s="6" t="s">
        <v>395</v>
      </c>
      <c r="E10" s="7" t="s">
        <v>346</v>
      </c>
      <c r="F10" s="14">
        <v>29000</v>
      </c>
      <c r="G10" s="19">
        <v>1</v>
      </c>
      <c r="H10" s="14">
        <v>29000</v>
      </c>
      <c r="I10" s="7" t="s">
        <v>396</v>
      </c>
      <c r="J10" s="20" t="s">
        <v>397</v>
      </c>
    </row>
  </sheetData>
  <autoFilter ref="A1:J10" xr:uid="{57C9FACF-E557-46CA-883B-34924853998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5EB5-46E8-4436-8056-7EC04C97B00E}">
  <dimension ref="A1:G128"/>
  <sheetViews>
    <sheetView workbookViewId="0">
      <pane ySplit="1" topLeftCell="A107" activePane="bottomLeft" state="frozen"/>
      <selection pane="bottomLeft" activeCell="B2" sqref="B2:B128"/>
    </sheetView>
  </sheetViews>
  <sheetFormatPr baseColWidth="10" defaultRowHeight="15" x14ac:dyDescent="0.25"/>
  <cols>
    <col min="1" max="1" width="28.7109375" customWidth="1"/>
    <col min="2" max="2" width="40.7109375" customWidth="1"/>
    <col min="3" max="3" width="62.7109375" customWidth="1"/>
    <col min="4" max="4" width="16.7109375" customWidth="1"/>
    <col min="5" max="5" width="14.7109375" customWidth="1"/>
    <col min="6" max="6" width="16.7109375" customWidth="1"/>
    <col min="7" max="7" width="26.7109375" customWidth="1"/>
  </cols>
  <sheetData>
    <row r="1" spans="1:7" ht="32.1" customHeight="1" x14ac:dyDescent="0.25">
      <c r="A1" s="5" t="s">
        <v>0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</row>
    <row r="2" spans="1:7" ht="25.5" x14ac:dyDescent="0.25">
      <c r="A2" s="15" t="s">
        <v>8</v>
      </c>
      <c r="B2" s="16" t="s">
        <v>58</v>
      </c>
      <c r="C2" s="7" t="s">
        <v>559</v>
      </c>
      <c r="D2" s="6" t="s">
        <v>560</v>
      </c>
      <c r="E2" s="17" t="s">
        <v>561</v>
      </c>
      <c r="F2" s="14">
        <v>12000</v>
      </c>
      <c r="G2" s="6" t="s">
        <v>562</v>
      </c>
    </row>
    <row r="3" spans="1:7" ht="25.5" x14ac:dyDescent="0.25">
      <c r="A3" s="15" t="s">
        <v>8</v>
      </c>
      <c r="B3" s="16" t="s">
        <v>60</v>
      </c>
      <c r="C3" s="7" t="s">
        <v>61</v>
      </c>
      <c r="D3" s="6" t="s">
        <v>59</v>
      </c>
      <c r="E3" s="17" t="s">
        <v>563</v>
      </c>
      <c r="F3" s="14"/>
      <c r="G3" s="6"/>
    </row>
    <row r="4" spans="1:7" x14ac:dyDescent="0.25">
      <c r="A4" s="15" t="s">
        <v>8</v>
      </c>
      <c r="B4" s="16" t="s">
        <v>62</v>
      </c>
      <c r="C4" s="7" t="s">
        <v>564</v>
      </c>
      <c r="D4" s="6" t="s">
        <v>63</v>
      </c>
      <c r="E4" s="17" t="s">
        <v>561</v>
      </c>
      <c r="F4" s="14">
        <v>35000</v>
      </c>
      <c r="G4" s="6" t="s">
        <v>565</v>
      </c>
    </row>
    <row r="5" spans="1:7" x14ac:dyDescent="0.25">
      <c r="A5" s="15" t="s">
        <v>8</v>
      </c>
      <c r="B5" s="16" t="s">
        <v>64</v>
      </c>
      <c r="C5" s="7" t="s">
        <v>566</v>
      </c>
      <c r="D5" s="6" t="s">
        <v>560</v>
      </c>
      <c r="E5" s="17" t="s">
        <v>561</v>
      </c>
      <c r="F5" s="14">
        <v>25000</v>
      </c>
      <c r="G5" s="6" t="s">
        <v>567</v>
      </c>
    </row>
    <row r="6" spans="1:7" x14ac:dyDescent="0.25">
      <c r="A6" s="15" t="s">
        <v>8</v>
      </c>
      <c r="B6" s="16" t="s">
        <v>65</v>
      </c>
      <c r="C6" s="7" t="s">
        <v>66</v>
      </c>
      <c r="D6" s="6" t="s">
        <v>568</v>
      </c>
      <c r="E6" s="17" t="s">
        <v>561</v>
      </c>
      <c r="F6" s="14">
        <v>54000</v>
      </c>
    </row>
    <row r="7" spans="1:7" x14ac:dyDescent="0.25">
      <c r="A7" s="15" t="s">
        <v>8</v>
      </c>
      <c r="B7" s="16" t="s">
        <v>67</v>
      </c>
      <c r="C7" s="7" t="s">
        <v>68</v>
      </c>
      <c r="D7" s="6" t="s">
        <v>568</v>
      </c>
      <c r="E7" s="17" t="s">
        <v>561</v>
      </c>
      <c r="F7" s="14">
        <v>54000</v>
      </c>
    </row>
    <row r="8" spans="1:7" x14ac:dyDescent="0.25">
      <c r="A8" s="15" t="s">
        <v>8</v>
      </c>
      <c r="B8" s="16" t="s">
        <v>69</v>
      </c>
      <c r="C8" s="7" t="s">
        <v>569</v>
      </c>
      <c r="D8" s="6" t="s">
        <v>249</v>
      </c>
      <c r="E8" s="17" t="s">
        <v>561</v>
      </c>
      <c r="F8" s="14"/>
    </row>
    <row r="9" spans="1:7" x14ac:dyDescent="0.25">
      <c r="A9" s="15" t="s">
        <v>8</v>
      </c>
      <c r="B9" s="16" t="s">
        <v>70</v>
      </c>
      <c r="C9" s="7" t="s">
        <v>71</v>
      </c>
      <c r="D9" s="6" t="s">
        <v>570</v>
      </c>
      <c r="E9" s="17" t="s">
        <v>561</v>
      </c>
      <c r="F9" s="14">
        <v>30000</v>
      </c>
    </row>
    <row r="10" spans="1:7" x14ac:dyDescent="0.25">
      <c r="A10" s="15" t="s">
        <v>8</v>
      </c>
      <c r="B10" s="16" t="s">
        <v>73</v>
      </c>
      <c r="C10" s="7" t="s">
        <v>571</v>
      </c>
      <c r="D10" s="6" t="s">
        <v>249</v>
      </c>
      <c r="E10" s="17" t="s">
        <v>561</v>
      </c>
      <c r="F10" s="14"/>
    </row>
    <row r="11" spans="1:7" x14ac:dyDescent="0.25">
      <c r="A11" s="15" t="s">
        <v>8</v>
      </c>
      <c r="B11" s="16" t="s">
        <v>75</v>
      </c>
      <c r="C11" s="7" t="s">
        <v>76</v>
      </c>
      <c r="D11" s="6" t="s">
        <v>74</v>
      </c>
      <c r="E11" s="17" t="s">
        <v>563</v>
      </c>
      <c r="F11" s="14"/>
      <c r="G11" s="6"/>
    </row>
    <row r="12" spans="1:7" x14ac:dyDescent="0.25">
      <c r="A12" s="15" t="s">
        <v>10</v>
      </c>
      <c r="B12" s="16" t="s">
        <v>77</v>
      </c>
      <c r="C12" s="7" t="s">
        <v>78</v>
      </c>
      <c r="D12" s="6" t="s">
        <v>79</v>
      </c>
      <c r="E12" s="17"/>
      <c r="F12" s="14"/>
      <c r="G12" s="6"/>
    </row>
    <row r="13" spans="1:7" x14ac:dyDescent="0.25">
      <c r="A13" s="15" t="s">
        <v>10</v>
      </c>
      <c r="B13" s="16" t="s">
        <v>80</v>
      </c>
      <c r="C13" s="7" t="s">
        <v>78</v>
      </c>
      <c r="D13" s="6" t="s">
        <v>79</v>
      </c>
      <c r="E13" s="17"/>
      <c r="F13" s="14"/>
      <c r="G13" s="6"/>
    </row>
    <row r="14" spans="1:7" x14ac:dyDescent="0.25">
      <c r="A14" s="15" t="s">
        <v>10</v>
      </c>
      <c r="B14" s="16" t="s">
        <v>81</v>
      </c>
      <c r="C14" s="7" t="s">
        <v>82</v>
      </c>
      <c r="D14" s="6" t="s">
        <v>79</v>
      </c>
      <c r="E14" s="17"/>
      <c r="F14" s="14"/>
      <c r="G14" s="6"/>
    </row>
    <row r="15" spans="1:7" x14ac:dyDescent="0.25">
      <c r="A15" s="15" t="s">
        <v>10</v>
      </c>
      <c r="B15" s="16" t="s">
        <v>83</v>
      </c>
      <c r="C15" s="7" t="s">
        <v>84</v>
      </c>
      <c r="D15" s="6" t="s">
        <v>79</v>
      </c>
      <c r="E15" s="17"/>
      <c r="F15" s="14"/>
      <c r="G15" s="6"/>
    </row>
    <row r="16" spans="1:7" x14ac:dyDescent="0.25">
      <c r="A16" s="15" t="s">
        <v>10</v>
      </c>
      <c r="B16" s="16" t="s">
        <v>85</v>
      </c>
      <c r="C16" s="7" t="s">
        <v>86</v>
      </c>
      <c r="D16" s="6" t="s">
        <v>79</v>
      </c>
      <c r="E16" s="17"/>
      <c r="F16" s="14"/>
      <c r="G16" s="6"/>
    </row>
    <row r="17" spans="1:7" x14ac:dyDescent="0.25">
      <c r="A17" s="15" t="s">
        <v>10</v>
      </c>
      <c r="B17" s="16" t="s">
        <v>87</v>
      </c>
      <c r="C17" s="7" t="s">
        <v>88</v>
      </c>
      <c r="D17" s="6" t="s">
        <v>79</v>
      </c>
      <c r="E17" s="17"/>
      <c r="F17" s="14"/>
      <c r="G17" s="6"/>
    </row>
    <row r="18" spans="1:7" x14ac:dyDescent="0.25">
      <c r="A18" s="15" t="s">
        <v>10</v>
      </c>
      <c r="B18" s="16" t="s">
        <v>89</v>
      </c>
      <c r="C18" s="7" t="s">
        <v>90</v>
      </c>
      <c r="D18" s="6" t="s">
        <v>91</v>
      </c>
      <c r="E18" s="17"/>
      <c r="F18" s="14"/>
      <c r="G18" s="6"/>
    </row>
    <row r="19" spans="1:7" x14ac:dyDescent="0.25">
      <c r="A19" s="15" t="s">
        <v>10</v>
      </c>
      <c r="B19" s="16" t="s">
        <v>92</v>
      </c>
      <c r="C19" s="7" t="s">
        <v>93</v>
      </c>
      <c r="D19" s="6" t="s">
        <v>94</v>
      </c>
      <c r="E19" s="17"/>
      <c r="F19" s="14"/>
      <c r="G19" s="6"/>
    </row>
    <row r="20" spans="1:7" x14ac:dyDescent="0.25">
      <c r="A20" s="15" t="s">
        <v>10</v>
      </c>
      <c r="B20" s="16" t="s">
        <v>95</v>
      </c>
      <c r="C20" s="7" t="s">
        <v>96</v>
      </c>
      <c r="D20" s="6" t="s">
        <v>97</v>
      </c>
      <c r="E20" s="17"/>
      <c r="F20" s="14"/>
      <c r="G20" s="6"/>
    </row>
    <row r="21" spans="1:7" x14ac:dyDescent="0.25">
      <c r="A21" s="15" t="s">
        <v>10</v>
      </c>
      <c r="B21" s="16" t="s">
        <v>98</v>
      </c>
      <c r="C21" s="7" t="s">
        <v>99</v>
      </c>
      <c r="D21" s="6" t="s">
        <v>79</v>
      </c>
      <c r="E21" s="17"/>
      <c r="F21" s="14"/>
      <c r="G21" s="6"/>
    </row>
    <row r="22" spans="1:7" x14ac:dyDescent="0.25">
      <c r="A22" s="15" t="s">
        <v>10</v>
      </c>
      <c r="B22" s="16" t="s">
        <v>100</v>
      </c>
      <c r="C22" s="7" t="s">
        <v>101</v>
      </c>
      <c r="D22" s="6" t="s">
        <v>102</v>
      </c>
      <c r="E22" s="17"/>
      <c r="F22" s="14"/>
      <c r="G22" s="6"/>
    </row>
    <row r="23" spans="1:7" x14ac:dyDescent="0.25">
      <c r="A23" s="15" t="s">
        <v>103</v>
      </c>
      <c r="B23" s="16" t="s">
        <v>104</v>
      </c>
      <c r="C23" s="7" t="s">
        <v>105</v>
      </c>
      <c r="D23" s="6" t="s">
        <v>59</v>
      </c>
      <c r="E23" s="17"/>
      <c r="F23" s="14"/>
      <c r="G23" s="6"/>
    </row>
    <row r="24" spans="1:7" x14ac:dyDescent="0.25">
      <c r="A24" s="15" t="s">
        <v>103</v>
      </c>
      <c r="B24" s="16" t="s">
        <v>106</v>
      </c>
      <c r="C24" s="7" t="s">
        <v>107</v>
      </c>
      <c r="D24" s="6" t="s">
        <v>59</v>
      </c>
      <c r="E24" s="17"/>
      <c r="F24" s="14"/>
      <c r="G24" s="6"/>
    </row>
    <row r="25" spans="1:7" x14ac:dyDescent="0.25">
      <c r="A25" s="15" t="s">
        <v>103</v>
      </c>
      <c r="B25" s="16" t="s">
        <v>108</v>
      </c>
      <c r="C25" s="7" t="s">
        <v>109</v>
      </c>
      <c r="D25" s="6" t="s">
        <v>63</v>
      </c>
      <c r="E25" s="17"/>
      <c r="F25" s="14"/>
      <c r="G25" s="6"/>
    </row>
    <row r="26" spans="1:7" x14ac:dyDescent="0.25">
      <c r="A26" s="15" t="s">
        <v>103</v>
      </c>
      <c r="B26" s="16" t="s">
        <v>110</v>
      </c>
      <c r="C26" s="7" t="s">
        <v>111</v>
      </c>
      <c r="D26" s="6" t="s">
        <v>63</v>
      </c>
      <c r="E26" s="17"/>
      <c r="F26" s="14"/>
      <c r="G26" s="6"/>
    </row>
    <row r="27" spans="1:7" x14ac:dyDescent="0.25">
      <c r="A27" s="15" t="s">
        <v>103</v>
      </c>
      <c r="B27" s="16" t="s">
        <v>112</v>
      </c>
      <c r="C27" s="7" t="s">
        <v>113</v>
      </c>
      <c r="D27" s="6" t="s">
        <v>63</v>
      </c>
      <c r="E27" s="17"/>
      <c r="F27" s="14"/>
      <c r="G27" s="6"/>
    </row>
    <row r="28" spans="1:7" x14ac:dyDescent="0.25">
      <c r="A28" s="15" t="s">
        <v>103</v>
      </c>
      <c r="B28" s="16" t="s">
        <v>114</v>
      </c>
      <c r="C28" s="7" t="s">
        <v>115</v>
      </c>
      <c r="D28" s="6" t="s">
        <v>74</v>
      </c>
      <c r="E28" s="17"/>
      <c r="F28" s="14"/>
      <c r="G28" s="6"/>
    </row>
    <row r="29" spans="1:7" ht="25.5" x14ac:dyDescent="0.25">
      <c r="A29" s="15" t="s">
        <v>103</v>
      </c>
      <c r="B29" s="16" t="s">
        <v>116</v>
      </c>
      <c r="C29" s="7" t="s">
        <v>117</v>
      </c>
      <c r="D29" s="6" t="s">
        <v>91</v>
      </c>
      <c r="E29" s="17"/>
      <c r="F29" s="14"/>
      <c r="G29" s="6"/>
    </row>
    <row r="30" spans="1:7" x14ac:dyDescent="0.25">
      <c r="A30" s="15" t="s">
        <v>103</v>
      </c>
      <c r="B30" s="16" t="s">
        <v>118</v>
      </c>
      <c r="C30" s="7" t="s">
        <v>119</v>
      </c>
      <c r="D30" s="6" t="s">
        <v>91</v>
      </c>
      <c r="E30" s="17"/>
      <c r="F30" s="14"/>
      <c r="G30" s="6"/>
    </row>
    <row r="31" spans="1:7" x14ac:dyDescent="0.25">
      <c r="A31" s="15" t="s">
        <v>103</v>
      </c>
      <c r="B31" s="16" t="s">
        <v>120</v>
      </c>
      <c r="C31" s="7" t="s">
        <v>121</v>
      </c>
      <c r="D31" s="6" t="s">
        <v>91</v>
      </c>
      <c r="E31" s="17"/>
      <c r="F31" s="14"/>
      <c r="G31" s="6"/>
    </row>
    <row r="32" spans="1:7" x14ac:dyDescent="0.25">
      <c r="A32" s="15" t="s">
        <v>103</v>
      </c>
      <c r="B32" s="16" t="s">
        <v>122</v>
      </c>
      <c r="C32" s="7" t="s">
        <v>123</v>
      </c>
      <c r="D32" s="6" t="s">
        <v>102</v>
      </c>
      <c r="E32" s="17"/>
      <c r="F32" s="14"/>
      <c r="G32" s="6"/>
    </row>
    <row r="33" spans="1:7" x14ac:dyDescent="0.25">
      <c r="A33" s="15" t="s">
        <v>103</v>
      </c>
      <c r="B33" s="16" t="s">
        <v>124</v>
      </c>
      <c r="C33" s="7" t="s">
        <v>125</v>
      </c>
      <c r="D33" s="6" t="s">
        <v>102</v>
      </c>
      <c r="E33" s="17"/>
      <c r="F33" s="14"/>
      <c r="G33" s="6"/>
    </row>
    <row r="34" spans="1:7" x14ac:dyDescent="0.25">
      <c r="A34" s="15" t="s">
        <v>126</v>
      </c>
      <c r="B34" s="16" t="s">
        <v>127</v>
      </c>
      <c r="C34" s="7" t="s">
        <v>128</v>
      </c>
      <c r="D34" s="6" t="s">
        <v>94</v>
      </c>
      <c r="E34" s="17"/>
      <c r="F34" s="14"/>
      <c r="G34" s="6"/>
    </row>
    <row r="35" spans="1:7" x14ac:dyDescent="0.25">
      <c r="A35" s="15" t="s">
        <v>126</v>
      </c>
      <c r="B35" s="16" t="s">
        <v>129</v>
      </c>
      <c r="C35" s="7" t="s">
        <v>130</v>
      </c>
      <c r="D35" s="6" t="s">
        <v>94</v>
      </c>
      <c r="E35" s="17"/>
      <c r="F35" s="14"/>
      <c r="G35" s="6"/>
    </row>
    <row r="36" spans="1:7" x14ac:dyDescent="0.25">
      <c r="A36" s="15" t="s">
        <v>126</v>
      </c>
      <c r="B36" s="16" t="s">
        <v>131</v>
      </c>
      <c r="C36" s="7" t="s">
        <v>132</v>
      </c>
      <c r="D36" s="6" t="s">
        <v>94</v>
      </c>
      <c r="E36" s="17"/>
      <c r="F36" s="14"/>
      <c r="G36" s="6"/>
    </row>
    <row r="37" spans="1:7" x14ac:dyDescent="0.25">
      <c r="A37" s="15" t="s">
        <v>126</v>
      </c>
      <c r="B37" s="16" t="s">
        <v>133</v>
      </c>
      <c r="C37" s="7" t="s">
        <v>134</v>
      </c>
      <c r="D37" s="6" t="s">
        <v>94</v>
      </c>
      <c r="E37" s="17"/>
      <c r="F37" s="14"/>
      <c r="G37" s="6"/>
    </row>
    <row r="38" spans="1:7" x14ac:dyDescent="0.25">
      <c r="A38" s="15" t="s">
        <v>126</v>
      </c>
      <c r="B38" s="16" t="s">
        <v>135</v>
      </c>
      <c r="C38" s="7" t="s">
        <v>136</v>
      </c>
      <c r="D38" s="6" t="s">
        <v>94</v>
      </c>
      <c r="E38" s="17"/>
      <c r="F38" s="14"/>
      <c r="G38" s="6"/>
    </row>
    <row r="39" spans="1:7" x14ac:dyDescent="0.25">
      <c r="A39" s="15" t="s">
        <v>126</v>
      </c>
      <c r="B39" s="16" t="s">
        <v>137</v>
      </c>
      <c r="C39" s="7" t="s">
        <v>138</v>
      </c>
      <c r="D39" s="6" t="s">
        <v>94</v>
      </c>
      <c r="E39" s="17"/>
      <c r="F39" s="14"/>
      <c r="G39" s="6"/>
    </row>
    <row r="40" spans="1:7" x14ac:dyDescent="0.25">
      <c r="A40" s="15" t="s">
        <v>126</v>
      </c>
      <c r="B40" s="16" t="s">
        <v>139</v>
      </c>
      <c r="C40" s="7" t="s">
        <v>140</v>
      </c>
      <c r="D40" s="6" t="s">
        <v>102</v>
      </c>
      <c r="E40" s="17"/>
      <c r="F40" s="14"/>
      <c r="G40" s="6"/>
    </row>
    <row r="41" spans="1:7" x14ac:dyDescent="0.25">
      <c r="A41" s="15" t="s">
        <v>126</v>
      </c>
      <c r="B41" s="16" t="s">
        <v>141</v>
      </c>
      <c r="C41" s="7" t="s">
        <v>142</v>
      </c>
      <c r="D41" s="6" t="s">
        <v>102</v>
      </c>
      <c r="E41" s="17"/>
      <c r="F41" s="14"/>
      <c r="G41" s="6"/>
    </row>
    <row r="42" spans="1:7" x14ac:dyDescent="0.25">
      <c r="A42" s="15" t="s">
        <v>126</v>
      </c>
      <c r="B42" s="16" t="s">
        <v>143</v>
      </c>
      <c r="C42" s="7" t="s">
        <v>144</v>
      </c>
      <c r="D42" s="6" t="s">
        <v>94</v>
      </c>
      <c r="E42" s="17"/>
      <c r="F42" s="14"/>
      <c r="G42" s="6"/>
    </row>
    <row r="43" spans="1:7" x14ac:dyDescent="0.25">
      <c r="A43" s="15" t="s">
        <v>126</v>
      </c>
      <c r="B43" s="16" t="s">
        <v>145</v>
      </c>
      <c r="C43" s="7" t="s">
        <v>146</v>
      </c>
      <c r="D43" s="6" t="s">
        <v>94</v>
      </c>
      <c r="E43" s="17"/>
      <c r="F43" s="14"/>
      <c r="G43" s="6"/>
    </row>
    <row r="44" spans="1:7" x14ac:dyDescent="0.25">
      <c r="A44" s="15" t="s">
        <v>126</v>
      </c>
      <c r="B44" s="16" t="s">
        <v>147</v>
      </c>
      <c r="C44" s="7" t="s">
        <v>148</v>
      </c>
      <c r="D44" s="6" t="s">
        <v>94</v>
      </c>
      <c r="E44" s="17"/>
      <c r="F44" s="14"/>
      <c r="G44" s="6"/>
    </row>
    <row r="45" spans="1:7" x14ac:dyDescent="0.25">
      <c r="A45" s="15" t="s">
        <v>126</v>
      </c>
      <c r="B45" s="16" t="s">
        <v>149</v>
      </c>
      <c r="C45" s="7" t="s">
        <v>150</v>
      </c>
      <c r="D45" s="6" t="s">
        <v>102</v>
      </c>
      <c r="E45" s="17"/>
      <c r="F45" s="14"/>
      <c r="G45" s="6"/>
    </row>
    <row r="46" spans="1:7" x14ac:dyDescent="0.25">
      <c r="A46" s="15" t="s">
        <v>126</v>
      </c>
      <c r="B46" s="16" t="s">
        <v>151</v>
      </c>
      <c r="C46" s="7" t="s">
        <v>152</v>
      </c>
      <c r="D46" s="6" t="s">
        <v>91</v>
      </c>
      <c r="E46" s="17"/>
      <c r="F46" s="14"/>
      <c r="G46" s="6"/>
    </row>
    <row r="47" spans="1:7" x14ac:dyDescent="0.25">
      <c r="A47" s="15" t="s">
        <v>126</v>
      </c>
      <c r="B47" s="16" t="s">
        <v>153</v>
      </c>
      <c r="C47" s="7" t="s">
        <v>154</v>
      </c>
      <c r="D47" s="6" t="s">
        <v>94</v>
      </c>
      <c r="E47" s="17"/>
      <c r="F47" s="14"/>
      <c r="G47" s="6"/>
    </row>
    <row r="48" spans="1:7" x14ac:dyDescent="0.25">
      <c r="A48" s="15" t="s">
        <v>126</v>
      </c>
      <c r="B48" s="16" t="s">
        <v>155</v>
      </c>
      <c r="C48" s="7" t="s">
        <v>156</v>
      </c>
      <c r="D48" s="6" t="s">
        <v>91</v>
      </c>
      <c r="E48" s="17"/>
      <c r="F48" s="14"/>
      <c r="G48" s="6"/>
    </row>
    <row r="49" spans="1:7" x14ac:dyDescent="0.25">
      <c r="A49" s="15" t="s">
        <v>157</v>
      </c>
      <c r="B49" s="16" t="s">
        <v>158</v>
      </c>
      <c r="C49" s="7" t="s">
        <v>159</v>
      </c>
      <c r="D49" s="6" t="s">
        <v>74</v>
      </c>
      <c r="E49" s="17"/>
      <c r="F49" s="14"/>
      <c r="G49" s="6"/>
    </row>
    <row r="50" spans="1:7" x14ac:dyDescent="0.25">
      <c r="A50" s="15" t="s">
        <v>157</v>
      </c>
      <c r="B50" s="16" t="s">
        <v>160</v>
      </c>
      <c r="C50" s="7" t="s">
        <v>161</v>
      </c>
      <c r="D50" s="6" t="s">
        <v>162</v>
      </c>
      <c r="E50" s="17"/>
      <c r="F50" s="14"/>
      <c r="G50" s="6"/>
    </row>
    <row r="51" spans="1:7" x14ac:dyDescent="0.25">
      <c r="A51" s="15" t="s">
        <v>157</v>
      </c>
      <c r="B51" s="16" t="s">
        <v>163</v>
      </c>
      <c r="C51" s="7" t="s">
        <v>164</v>
      </c>
      <c r="D51" s="6" t="s">
        <v>59</v>
      </c>
      <c r="E51" s="17"/>
      <c r="F51" s="14"/>
      <c r="G51" s="6"/>
    </row>
    <row r="52" spans="1:7" x14ac:dyDescent="0.25">
      <c r="A52" s="15" t="s">
        <v>157</v>
      </c>
      <c r="B52" s="16" t="s">
        <v>165</v>
      </c>
      <c r="C52" s="7" t="s">
        <v>166</v>
      </c>
      <c r="D52" s="6" t="s">
        <v>63</v>
      </c>
      <c r="E52" s="17"/>
      <c r="F52" s="14"/>
      <c r="G52" s="6"/>
    </row>
    <row r="53" spans="1:7" x14ac:dyDescent="0.25">
      <c r="A53" s="15" t="s">
        <v>157</v>
      </c>
      <c r="B53" s="16" t="s">
        <v>167</v>
      </c>
      <c r="C53" s="7" t="s">
        <v>168</v>
      </c>
      <c r="D53" s="6" t="s">
        <v>63</v>
      </c>
      <c r="E53" s="17"/>
      <c r="F53" s="14"/>
      <c r="G53" s="6"/>
    </row>
    <row r="54" spans="1:7" x14ac:dyDescent="0.25">
      <c r="A54" s="15" t="s">
        <v>157</v>
      </c>
      <c r="B54" s="16" t="s">
        <v>169</v>
      </c>
      <c r="C54" s="7" t="s">
        <v>170</v>
      </c>
      <c r="D54" s="6" t="s">
        <v>74</v>
      </c>
      <c r="E54" s="17"/>
      <c r="F54" s="14"/>
      <c r="G54" s="6"/>
    </row>
    <row r="55" spans="1:7" x14ac:dyDescent="0.25">
      <c r="A55" s="15" t="s">
        <v>157</v>
      </c>
      <c r="B55" s="16" t="s">
        <v>171</v>
      </c>
      <c r="C55" s="7" t="s">
        <v>172</v>
      </c>
      <c r="D55" s="6" t="s">
        <v>59</v>
      </c>
      <c r="E55" s="17"/>
      <c r="F55" s="14"/>
      <c r="G55" s="6"/>
    </row>
    <row r="56" spans="1:7" x14ac:dyDescent="0.25">
      <c r="A56" s="15" t="s">
        <v>173</v>
      </c>
      <c r="B56" s="16" t="s">
        <v>174</v>
      </c>
      <c r="C56" s="7" t="s">
        <v>175</v>
      </c>
      <c r="D56" s="6" t="s">
        <v>91</v>
      </c>
      <c r="E56" s="17"/>
      <c r="F56" s="14"/>
      <c r="G56" s="6"/>
    </row>
    <row r="57" spans="1:7" x14ac:dyDescent="0.25">
      <c r="A57" s="15" t="s">
        <v>173</v>
      </c>
      <c r="B57" s="16" t="s">
        <v>176</v>
      </c>
      <c r="C57" s="7" t="s">
        <v>177</v>
      </c>
      <c r="D57" s="6" t="s">
        <v>74</v>
      </c>
      <c r="E57" s="17"/>
      <c r="F57" s="14"/>
      <c r="G57" s="6"/>
    </row>
    <row r="58" spans="1:7" x14ac:dyDescent="0.25">
      <c r="A58" s="15" t="s">
        <v>173</v>
      </c>
      <c r="B58" s="16" t="s">
        <v>178</v>
      </c>
      <c r="C58" s="7" t="s">
        <v>179</v>
      </c>
      <c r="D58" s="6" t="s">
        <v>63</v>
      </c>
      <c r="E58" s="17"/>
      <c r="F58" s="14"/>
      <c r="G58" s="6"/>
    </row>
    <row r="59" spans="1:7" x14ac:dyDescent="0.25">
      <c r="A59" s="15" t="s">
        <v>173</v>
      </c>
      <c r="B59" s="16" t="s">
        <v>180</v>
      </c>
      <c r="C59" s="7" t="s">
        <v>181</v>
      </c>
      <c r="D59" s="6" t="s">
        <v>74</v>
      </c>
      <c r="E59" s="17"/>
      <c r="F59" s="14"/>
      <c r="G59" s="6"/>
    </row>
    <row r="60" spans="1:7" x14ac:dyDescent="0.25">
      <c r="A60" s="15" t="s">
        <v>173</v>
      </c>
      <c r="B60" s="16" t="s">
        <v>182</v>
      </c>
      <c r="C60" s="7" t="s">
        <v>183</v>
      </c>
      <c r="D60" s="6" t="s">
        <v>72</v>
      </c>
      <c r="E60" s="17"/>
      <c r="F60" s="14"/>
      <c r="G60" s="6"/>
    </row>
    <row r="61" spans="1:7" x14ac:dyDescent="0.25">
      <c r="A61" s="15" t="s">
        <v>173</v>
      </c>
      <c r="B61" s="16" t="s">
        <v>184</v>
      </c>
      <c r="C61" s="7" t="s">
        <v>185</v>
      </c>
      <c r="D61" s="6" t="s">
        <v>63</v>
      </c>
      <c r="E61" s="17"/>
      <c r="F61" s="14"/>
      <c r="G61" s="6"/>
    </row>
    <row r="62" spans="1:7" x14ac:dyDescent="0.25">
      <c r="A62" s="15" t="s">
        <v>173</v>
      </c>
      <c r="B62" s="16" t="s">
        <v>186</v>
      </c>
      <c r="C62" s="7" t="s">
        <v>187</v>
      </c>
      <c r="D62" s="6" t="s">
        <v>91</v>
      </c>
      <c r="E62" s="17"/>
      <c r="F62" s="14"/>
      <c r="G62" s="6"/>
    </row>
    <row r="63" spans="1:7" x14ac:dyDescent="0.25">
      <c r="A63" s="15" t="s">
        <v>173</v>
      </c>
      <c r="B63" s="16" t="s">
        <v>188</v>
      </c>
      <c r="C63" s="7" t="s">
        <v>189</v>
      </c>
      <c r="D63" s="6" t="s">
        <v>91</v>
      </c>
      <c r="E63" s="17"/>
      <c r="F63" s="14"/>
      <c r="G63" s="6"/>
    </row>
    <row r="64" spans="1:7" x14ac:dyDescent="0.25">
      <c r="A64" s="15" t="s">
        <v>11</v>
      </c>
      <c r="B64" s="16" t="s">
        <v>190</v>
      </c>
      <c r="C64" s="7" t="s">
        <v>191</v>
      </c>
      <c r="D64" s="6" t="s">
        <v>102</v>
      </c>
      <c r="E64" s="17"/>
      <c r="F64" s="14"/>
      <c r="G64" s="6"/>
    </row>
    <row r="65" spans="1:7" x14ac:dyDescent="0.25">
      <c r="A65" s="15" t="s">
        <v>11</v>
      </c>
      <c r="B65" s="16" t="s">
        <v>192</v>
      </c>
      <c r="C65" s="7" t="s">
        <v>193</v>
      </c>
      <c r="D65" s="6" t="s">
        <v>102</v>
      </c>
      <c r="E65" s="17"/>
      <c r="F65" s="14"/>
      <c r="G65" s="6"/>
    </row>
    <row r="66" spans="1:7" x14ac:dyDescent="0.25">
      <c r="A66" s="15" t="s">
        <v>11</v>
      </c>
      <c r="B66" s="16" t="s">
        <v>194</v>
      </c>
      <c r="C66" s="7" t="s">
        <v>195</v>
      </c>
      <c r="D66" s="6" t="s">
        <v>102</v>
      </c>
      <c r="E66" s="17"/>
      <c r="F66" s="14"/>
      <c r="G66" s="6"/>
    </row>
    <row r="67" spans="1:7" x14ac:dyDescent="0.25">
      <c r="A67" s="15" t="s">
        <v>11</v>
      </c>
      <c r="B67" s="16" t="s">
        <v>196</v>
      </c>
      <c r="C67" s="7" t="s">
        <v>197</v>
      </c>
      <c r="D67" s="6" t="s">
        <v>102</v>
      </c>
      <c r="E67" s="17"/>
      <c r="F67" s="14"/>
      <c r="G67" s="6"/>
    </row>
    <row r="68" spans="1:7" x14ac:dyDescent="0.25">
      <c r="A68" s="15" t="s">
        <v>11</v>
      </c>
      <c r="B68" s="16" t="s">
        <v>198</v>
      </c>
      <c r="C68" s="7" t="s">
        <v>199</v>
      </c>
      <c r="D68" s="6" t="s">
        <v>94</v>
      </c>
      <c r="E68" s="17"/>
      <c r="F68" s="14"/>
      <c r="G68" s="6"/>
    </row>
    <row r="69" spans="1:7" x14ac:dyDescent="0.25">
      <c r="A69" s="15" t="s">
        <v>11</v>
      </c>
      <c r="B69" s="16" t="s">
        <v>200</v>
      </c>
      <c r="C69" s="7" t="s">
        <v>201</v>
      </c>
      <c r="D69" s="6" t="s">
        <v>94</v>
      </c>
      <c r="E69" s="17"/>
      <c r="F69" s="14"/>
      <c r="G69" s="6"/>
    </row>
    <row r="70" spans="1:7" x14ac:dyDescent="0.25">
      <c r="A70" s="15" t="s">
        <v>11</v>
      </c>
      <c r="B70" s="16" t="s">
        <v>202</v>
      </c>
      <c r="C70" s="7" t="s">
        <v>203</v>
      </c>
      <c r="D70" s="6" t="s">
        <v>91</v>
      </c>
      <c r="E70" s="17"/>
      <c r="F70" s="14"/>
      <c r="G70" s="6"/>
    </row>
    <row r="71" spans="1:7" x14ac:dyDescent="0.25">
      <c r="A71" s="15" t="s">
        <v>11</v>
      </c>
      <c r="B71" s="16" t="s">
        <v>204</v>
      </c>
      <c r="C71" s="7" t="s">
        <v>205</v>
      </c>
      <c r="D71" s="6" t="s">
        <v>102</v>
      </c>
      <c r="E71" s="17"/>
      <c r="F71" s="14"/>
      <c r="G71" s="6"/>
    </row>
    <row r="72" spans="1:7" x14ac:dyDescent="0.25">
      <c r="A72" s="15" t="s">
        <v>11</v>
      </c>
      <c r="B72" s="16" t="s">
        <v>206</v>
      </c>
      <c r="C72" s="7" t="s">
        <v>207</v>
      </c>
      <c r="D72" s="6" t="s">
        <v>91</v>
      </c>
      <c r="E72" s="17"/>
      <c r="F72" s="14"/>
      <c r="G72" s="6"/>
    </row>
    <row r="73" spans="1:7" x14ac:dyDescent="0.25">
      <c r="A73" s="15" t="s">
        <v>11</v>
      </c>
      <c r="B73" s="16" t="s">
        <v>208</v>
      </c>
      <c r="C73" s="7" t="s">
        <v>209</v>
      </c>
      <c r="D73" s="6" t="s">
        <v>91</v>
      </c>
      <c r="E73" s="17"/>
      <c r="F73" s="14"/>
      <c r="G73" s="6"/>
    </row>
    <row r="74" spans="1:7" x14ac:dyDescent="0.25">
      <c r="A74" s="15" t="s">
        <v>11</v>
      </c>
      <c r="B74" s="16" t="s">
        <v>210</v>
      </c>
      <c r="C74" s="7" t="s">
        <v>211</v>
      </c>
      <c r="D74" s="6" t="s">
        <v>91</v>
      </c>
      <c r="E74" s="17"/>
      <c r="F74" s="14"/>
      <c r="G74" s="6"/>
    </row>
    <row r="75" spans="1:7" x14ac:dyDescent="0.25">
      <c r="A75" s="15" t="s">
        <v>11</v>
      </c>
      <c r="B75" s="16" t="s">
        <v>212</v>
      </c>
      <c r="C75" s="7" t="s">
        <v>213</v>
      </c>
      <c r="D75" s="6" t="s">
        <v>102</v>
      </c>
      <c r="E75" s="17"/>
      <c r="F75" s="14"/>
      <c r="G75" s="6"/>
    </row>
    <row r="76" spans="1:7" x14ac:dyDescent="0.25">
      <c r="A76" s="15" t="s">
        <v>11</v>
      </c>
      <c r="B76" s="16" t="s">
        <v>214</v>
      </c>
      <c r="C76" s="7" t="s">
        <v>215</v>
      </c>
      <c r="D76" s="6" t="s">
        <v>91</v>
      </c>
      <c r="E76" s="17"/>
      <c r="F76" s="14"/>
      <c r="G76" s="6"/>
    </row>
    <row r="77" spans="1:7" x14ac:dyDescent="0.25">
      <c r="A77" s="15" t="s">
        <v>11</v>
      </c>
      <c r="B77" s="16" t="s">
        <v>216</v>
      </c>
      <c r="C77" s="7" t="s">
        <v>217</v>
      </c>
      <c r="D77" s="6" t="s">
        <v>91</v>
      </c>
      <c r="E77" s="17"/>
      <c r="F77" s="14"/>
      <c r="G77" s="6"/>
    </row>
    <row r="78" spans="1:7" x14ac:dyDescent="0.25">
      <c r="A78" s="15" t="s">
        <v>12</v>
      </c>
      <c r="B78" s="16" t="s">
        <v>218</v>
      </c>
      <c r="C78" s="7" t="s">
        <v>219</v>
      </c>
      <c r="D78" s="6" t="s">
        <v>102</v>
      </c>
      <c r="E78" s="17"/>
      <c r="F78" s="14"/>
      <c r="G78" s="6"/>
    </row>
    <row r="79" spans="1:7" x14ac:dyDescent="0.25">
      <c r="A79" s="15" t="s">
        <v>12</v>
      </c>
      <c r="B79" s="16" t="s">
        <v>220</v>
      </c>
      <c r="C79" s="7" t="s">
        <v>221</v>
      </c>
      <c r="D79" s="6" t="s">
        <v>102</v>
      </c>
      <c r="E79" s="17"/>
      <c r="F79" s="14"/>
      <c r="G79" s="6"/>
    </row>
    <row r="80" spans="1:7" x14ac:dyDescent="0.25">
      <c r="A80" s="15" t="s">
        <v>12</v>
      </c>
      <c r="B80" s="16" t="s">
        <v>222</v>
      </c>
      <c r="C80" s="7" t="s">
        <v>223</v>
      </c>
      <c r="D80" s="6" t="s">
        <v>102</v>
      </c>
      <c r="E80" s="17"/>
      <c r="F80" s="14"/>
      <c r="G80" s="6"/>
    </row>
    <row r="81" spans="1:7" x14ac:dyDescent="0.25">
      <c r="A81" s="15" t="s">
        <v>12</v>
      </c>
      <c r="B81" s="16" t="s">
        <v>224</v>
      </c>
      <c r="C81" s="7" t="s">
        <v>225</v>
      </c>
      <c r="D81" s="6" t="s">
        <v>102</v>
      </c>
      <c r="E81" s="17"/>
      <c r="F81" s="14"/>
      <c r="G81" s="6"/>
    </row>
    <row r="82" spans="1:7" x14ac:dyDescent="0.25">
      <c r="A82" s="15" t="s">
        <v>12</v>
      </c>
      <c r="B82" s="16" t="s">
        <v>226</v>
      </c>
      <c r="C82" s="7" t="s">
        <v>227</v>
      </c>
      <c r="D82" s="6" t="s">
        <v>102</v>
      </c>
      <c r="E82" s="17"/>
      <c r="F82" s="14"/>
      <c r="G82" s="6"/>
    </row>
    <row r="83" spans="1:7" x14ac:dyDescent="0.25">
      <c r="A83" s="15" t="s">
        <v>12</v>
      </c>
      <c r="B83" s="16" t="s">
        <v>228</v>
      </c>
      <c r="C83" s="7" t="s">
        <v>229</v>
      </c>
      <c r="D83" s="6" t="s">
        <v>102</v>
      </c>
      <c r="E83" s="17"/>
      <c r="F83" s="14"/>
      <c r="G83" s="6"/>
    </row>
    <row r="84" spans="1:7" x14ac:dyDescent="0.25">
      <c r="A84" s="15" t="s">
        <v>12</v>
      </c>
      <c r="B84" s="16" t="s">
        <v>230</v>
      </c>
      <c r="C84" s="7" t="s">
        <v>231</v>
      </c>
      <c r="D84" s="6" t="s">
        <v>102</v>
      </c>
      <c r="E84" s="17"/>
      <c r="F84" s="14"/>
      <c r="G84" s="6"/>
    </row>
    <row r="85" spans="1:7" x14ac:dyDescent="0.25">
      <c r="A85" s="15" t="s">
        <v>232</v>
      </c>
      <c r="B85" s="16" t="s">
        <v>233</v>
      </c>
      <c r="C85" s="7" t="s">
        <v>234</v>
      </c>
      <c r="D85" s="6" t="s">
        <v>102</v>
      </c>
      <c r="E85" s="17"/>
      <c r="F85" s="14"/>
      <c r="G85" s="6"/>
    </row>
    <row r="86" spans="1:7" x14ac:dyDescent="0.25">
      <c r="A86" s="15" t="s">
        <v>232</v>
      </c>
      <c r="B86" s="16" t="s">
        <v>235</v>
      </c>
      <c r="C86" s="7" t="s">
        <v>236</v>
      </c>
      <c r="D86" s="6" t="s">
        <v>102</v>
      </c>
      <c r="E86" s="17"/>
      <c r="F86" s="14"/>
      <c r="G86" s="6"/>
    </row>
    <row r="87" spans="1:7" x14ac:dyDescent="0.25">
      <c r="A87" s="15" t="s">
        <v>232</v>
      </c>
      <c r="B87" s="16" t="s">
        <v>237</v>
      </c>
      <c r="C87" s="7" t="s">
        <v>238</v>
      </c>
      <c r="D87" s="6" t="s">
        <v>102</v>
      </c>
      <c r="E87" s="17"/>
      <c r="F87" s="14"/>
      <c r="G87" s="6"/>
    </row>
    <row r="88" spans="1:7" x14ac:dyDescent="0.25">
      <c r="A88" s="15" t="s">
        <v>232</v>
      </c>
      <c r="B88" s="16" t="s">
        <v>239</v>
      </c>
      <c r="C88" s="7" t="s">
        <v>240</v>
      </c>
      <c r="D88" s="6" t="s">
        <v>102</v>
      </c>
      <c r="E88" s="17"/>
      <c r="F88" s="14"/>
      <c r="G88" s="6"/>
    </row>
    <row r="89" spans="1:7" x14ac:dyDescent="0.25">
      <c r="A89" s="15" t="s">
        <v>232</v>
      </c>
      <c r="B89" s="16" t="s">
        <v>241</v>
      </c>
      <c r="C89" s="7" t="s">
        <v>242</v>
      </c>
      <c r="D89" s="6" t="s">
        <v>102</v>
      </c>
      <c r="E89" s="17"/>
      <c r="F89" s="14"/>
      <c r="G89" s="6"/>
    </row>
    <row r="90" spans="1:7" x14ac:dyDescent="0.25">
      <c r="A90" s="15" t="s">
        <v>232</v>
      </c>
      <c r="B90" s="16" t="s">
        <v>243</v>
      </c>
      <c r="C90" s="7" t="s">
        <v>244</v>
      </c>
      <c r="D90" s="6" t="s">
        <v>102</v>
      </c>
      <c r="E90" s="17"/>
      <c r="F90" s="14"/>
      <c r="G90" s="6"/>
    </row>
    <row r="91" spans="1:7" x14ac:dyDescent="0.25">
      <c r="A91" s="15" t="s">
        <v>232</v>
      </c>
      <c r="B91" s="16" t="s">
        <v>245</v>
      </c>
      <c r="C91" s="7" t="s">
        <v>246</v>
      </c>
      <c r="D91" s="6" t="s">
        <v>102</v>
      </c>
      <c r="E91" s="17"/>
      <c r="F91" s="14"/>
      <c r="G91" s="6"/>
    </row>
    <row r="92" spans="1:7" x14ac:dyDescent="0.25">
      <c r="A92" s="15" t="s">
        <v>232</v>
      </c>
      <c r="B92" s="16" t="s">
        <v>247</v>
      </c>
      <c r="C92" s="7" t="s">
        <v>248</v>
      </c>
      <c r="D92" s="6" t="s">
        <v>249</v>
      </c>
      <c r="E92" s="17"/>
      <c r="F92" s="14"/>
      <c r="G92" s="6"/>
    </row>
    <row r="93" spans="1:7" x14ac:dyDescent="0.25">
      <c r="A93" s="15" t="s">
        <v>232</v>
      </c>
      <c r="B93" s="16" t="s">
        <v>250</v>
      </c>
      <c r="C93" s="7" t="s">
        <v>251</v>
      </c>
      <c r="D93" s="6" t="s">
        <v>102</v>
      </c>
      <c r="E93" s="17"/>
      <c r="F93" s="14"/>
      <c r="G93" s="6"/>
    </row>
    <row r="94" spans="1:7" x14ac:dyDescent="0.25">
      <c r="A94" s="15" t="s">
        <v>232</v>
      </c>
      <c r="B94" s="16" t="s">
        <v>252</v>
      </c>
      <c r="C94" s="7" t="s">
        <v>253</v>
      </c>
      <c r="D94" s="6" t="s">
        <v>102</v>
      </c>
      <c r="E94" s="17"/>
      <c r="F94" s="14"/>
      <c r="G94" s="6"/>
    </row>
    <row r="95" spans="1:7" x14ac:dyDescent="0.25">
      <c r="A95" s="15" t="s">
        <v>232</v>
      </c>
      <c r="B95" s="16" t="s">
        <v>254</v>
      </c>
      <c r="C95" s="7" t="s">
        <v>255</v>
      </c>
      <c r="D95" s="6" t="s">
        <v>249</v>
      </c>
      <c r="E95" s="17"/>
      <c r="F95" s="14"/>
      <c r="G95" s="6"/>
    </row>
    <row r="96" spans="1:7" x14ac:dyDescent="0.25">
      <c r="A96" s="15" t="s">
        <v>232</v>
      </c>
      <c r="B96" s="16" t="s">
        <v>256</v>
      </c>
      <c r="C96" s="7" t="s">
        <v>257</v>
      </c>
      <c r="D96" s="6" t="s">
        <v>249</v>
      </c>
      <c r="E96" s="17"/>
      <c r="F96" s="14"/>
      <c r="G96" s="6"/>
    </row>
    <row r="97" spans="1:7" x14ac:dyDescent="0.25">
      <c r="A97" s="15" t="s">
        <v>232</v>
      </c>
      <c r="B97" s="16" t="s">
        <v>258</v>
      </c>
      <c r="C97" s="7" t="s">
        <v>259</v>
      </c>
      <c r="D97" s="6" t="s">
        <v>74</v>
      </c>
      <c r="E97" s="17"/>
      <c r="F97" s="14"/>
      <c r="G97" s="6"/>
    </row>
    <row r="98" spans="1:7" x14ac:dyDescent="0.25">
      <c r="A98" s="15" t="s">
        <v>232</v>
      </c>
      <c r="B98" s="16" t="s">
        <v>260</v>
      </c>
      <c r="C98" s="7" t="s">
        <v>261</v>
      </c>
      <c r="D98" s="6" t="s">
        <v>249</v>
      </c>
      <c r="E98" s="17"/>
      <c r="F98" s="14"/>
      <c r="G98" s="6"/>
    </row>
    <row r="99" spans="1:7" x14ac:dyDescent="0.25">
      <c r="A99" s="15" t="s">
        <v>232</v>
      </c>
      <c r="B99" s="16" t="s">
        <v>262</v>
      </c>
      <c r="C99" s="7" t="s">
        <v>263</v>
      </c>
      <c r="D99" s="6" t="s">
        <v>74</v>
      </c>
      <c r="E99" s="17"/>
      <c r="F99" s="14"/>
      <c r="G99" s="6"/>
    </row>
    <row r="100" spans="1:7" x14ac:dyDescent="0.25">
      <c r="A100" s="15" t="s">
        <v>232</v>
      </c>
      <c r="B100" s="16" t="s">
        <v>264</v>
      </c>
      <c r="C100" s="7" t="s">
        <v>265</v>
      </c>
      <c r="D100" s="6" t="s">
        <v>102</v>
      </c>
      <c r="E100" s="17"/>
      <c r="F100" s="14"/>
      <c r="G100" s="6"/>
    </row>
    <row r="101" spans="1:7" x14ac:dyDescent="0.25">
      <c r="A101" s="15" t="s">
        <v>266</v>
      </c>
      <c r="B101" s="16" t="s">
        <v>267</v>
      </c>
      <c r="C101" s="7" t="s">
        <v>268</v>
      </c>
      <c r="D101" s="6" t="s">
        <v>74</v>
      </c>
      <c r="E101" s="17"/>
      <c r="F101" s="14"/>
      <c r="G101" s="6"/>
    </row>
    <row r="102" spans="1:7" x14ac:dyDescent="0.25">
      <c r="A102" s="15" t="s">
        <v>266</v>
      </c>
      <c r="B102" s="16" t="s">
        <v>269</v>
      </c>
      <c r="C102" s="7" t="s">
        <v>270</v>
      </c>
      <c r="D102" s="6" t="s">
        <v>74</v>
      </c>
      <c r="E102" s="17"/>
      <c r="F102" s="14"/>
      <c r="G102" s="6"/>
    </row>
    <row r="103" spans="1:7" x14ac:dyDescent="0.25">
      <c r="A103" s="15" t="s">
        <v>266</v>
      </c>
      <c r="B103" s="16" t="s">
        <v>271</v>
      </c>
      <c r="C103" s="7" t="s">
        <v>272</v>
      </c>
      <c r="D103" s="6" t="s">
        <v>249</v>
      </c>
      <c r="E103" s="17"/>
      <c r="F103" s="14"/>
      <c r="G103" s="6"/>
    </row>
    <row r="104" spans="1:7" x14ac:dyDescent="0.25">
      <c r="A104" s="15" t="s">
        <v>266</v>
      </c>
      <c r="B104" s="16" t="s">
        <v>273</v>
      </c>
      <c r="C104" s="7" t="s">
        <v>274</v>
      </c>
      <c r="D104" s="6" t="s">
        <v>74</v>
      </c>
      <c r="E104" s="17"/>
      <c r="F104" s="14"/>
      <c r="G104" s="6"/>
    </row>
    <row r="105" spans="1:7" x14ac:dyDescent="0.25">
      <c r="A105" s="15" t="s">
        <v>266</v>
      </c>
      <c r="B105" s="16" t="s">
        <v>275</v>
      </c>
      <c r="C105" s="7" t="s">
        <v>276</v>
      </c>
      <c r="D105" s="6" t="s">
        <v>91</v>
      </c>
      <c r="E105" s="17"/>
      <c r="F105" s="14"/>
      <c r="G105" s="6"/>
    </row>
    <row r="106" spans="1:7" x14ac:dyDescent="0.25">
      <c r="A106" s="15" t="s">
        <v>266</v>
      </c>
      <c r="B106" s="16" t="s">
        <v>277</v>
      </c>
      <c r="C106" s="7" t="s">
        <v>278</v>
      </c>
      <c r="D106" s="6" t="s">
        <v>102</v>
      </c>
      <c r="E106" s="17"/>
      <c r="F106" s="14"/>
      <c r="G106" s="6"/>
    </row>
    <row r="107" spans="1:7" x14ac:dyDescent="0.25">
      <c r="A107" s="15" t="s">
        <v>266</v>
      </c>
      <c r="B107" s="16" t="s">
        <v>279</v>
      </c>
      <c r="C107" s="7" t="s">
        <v>280</v>
      </c>
      <c r="D107" s="6" t="s">
        <v>102</v>
      </c>
      <c r="E107" s="17"/>
      <c r="F107" s="14"/>
      <c r="G107" s="6"/>
    </row>
    <row r="108" spans="1:7" x14ac:dyDescent="0.25">
      <c r="A108" s="15" t="s">
        <v>266</v>
      </c>
      <c r="B108" s="16" t="s">
        <v>281</v>
      </c>
      <c r="C108" s="7" t="s">
        <v>282</v>
      </c>
      <c r="D108" s="6" t="s">
        <v>283</v>
      </c>
      <c r="E108" s="17"/>
      <c r="F108" s="14"/>
      <c r="G108" s="6"/>
    </row>
    <row r="109" spans="1:7" x14ac:dyDescent="0.25">
      <c r="A109" s="15" t="s">
        <v>266</v>
      </c>
      <c r="B109" s="16" t="s">
        <v>284</v>
      </c>
      <c r="C109" s="7" t="s">
        <v>285</v>
      </c>
      <c r="D109" s="6" t="s">
        <v>74</v>
      </c>
      <c r="E109" s="17"/>
      <c r="F109" s="14"/>
      <c r="G109" s="6"/>
    </row>
    <row r="110" spans="1:7" x14ac:dyDescent="0.25">
      <c r="A110" s="15" t="s">
        <v>266</v>
      </c>
      <c r="B110" s="16" t="s">
        <v>286</v>
      </c>
      <c r="C110" s="7" t="s">
        <v>287</v>
      </c>
      <c r="D110" s="6" t="s">
        <v>102</v>
      </c>
      <c r="E110" s="17"/>
      <c r="F110" s="14"/>
      <c r="G110" s="6"/>
    </row>
    <row r="111" spans="1:7" x14ac:dyDescent="0.25">
      <c r="A111" s="15" t="s">
        <v>266</v>
      </c>
      <c r="B111" s="16" t="s">
        <v>288</v>
      </c>
      <c r="C111" s="7" t="s">
        <v>289</v>
      </c>
      <c r="D111" s="6" t="s">
        <v>74</v>
      </c>
      <c r="E111" s="17"/>
      <c r="F111" s="14"/>
      <c r="G111" s="6"/>
    </row>
    <row r="112" spans="1:7" x14ac:dyDescent="0.25">
      <c r="A112" s="15" t="s">
        <v>290</v>
      </c>
      <c r="B112" s="16" t="s">
        <v>291</v>
      </c>
      <c r="C112" s="7" t="s">
        <v>292</v>
      </c>
      <c r="D112" s="6" t="s">
        <v>102</v>
      </c>
      <c r="E112" s="17"/>
      <c r="F112" s="14"/>
      <c r="G112" s="6"/>
    </row>
    <row r="113" spans="1:7" x14ac:dyDescent="0.25">
      <c r="A113" s="15" t="s">
        <v>290</v>
      </c>
      <c r="B113" s="16" t="s">
        <v>293</v>
      </c>
      <c r="C113" s="7" t="s">
        <v>294</v>
      </c>
      <c r="D113" s="6" t="s">
        <v>102</v>
      </c>
      <c r="E113" s="17"/>
      <c r="F113" s="14"/>
      <c r="G113" s="6"/>
    </row>
    <row r="114" spans="1:7" x14ac:dyDescent="0.25">
      <c r="A114" s="15" t="s">
        <v>290</v>
      </c>
      <c r="B114" s="16" t="s">
        <v>295</v>
      </c>
      <c r="C114" s="7" t="s">
        <v>296</v>
      </c>
      <c r="D114" s="6" t="s">
        <v>102</v>
      </c>
      <c r="E114" s="17"/>
      <c r="F114" s="14"/>
      <c r="G114" s="6"/>
    </row>
    <row r="115" spans="1:7" x14ac:dyDescent="0.25">
      <c r="A115" s="15" t="s">
        <v>290</v>
      </c>
      <c r="B115" s="16" t="s">
        <v>297</v>
      </c>
      <c r="C115" s="7" t="s">
        <v>298</v>
      </c>
      <c r="D115" s="6" t="s">
        <v>102</v>
      </c>
      <c r="E115" s="17"/>
      <c r="F115" s="14"/>
      <c r="G115" s="6"/>
    </row>
    <row r="116" spans="1:7" x14ac:dyDescent="0.25">
      <c r="A116" s="15" t="s">
        <v>290</v>
      </c>
      <c r="B116" s="16" t="s">
        <v>299</v>
      </c>
      <c r="C116" s="7" t="s">
        <v>300</v>
      </c>
      <c r="D116" s="6" t="s">
        <v>102</v>
      </c>
      <c r="E116" s="17"/>
      <c r="F116" s="14"/>
      <c r="G116" s="6"/>
    </row>
    <row r="117" spans="1:7" x14ac:dyDescent="0.25">
      <c r="A117" s="15" t="s">
        <v>290</v>
      </c>
      <c r="B117" s="16" t="s">
        <v>301</v>
      </c>
      <c r="C117" s="7" t="s">
        <v>302</v>
      </c>
      <c r="D117" s="6" t="s">
        <v>102</v>
      </c>
      <c r="E117" s="17"/>
      <c r="F117" s="14"/>
      <c r="G117" s="6"/>
    </row>
    <row r="118" spans="1:7" x14ac:dyDescent="0.25">
      <c r="A118" s="15" t="s">
        <v>290</v>
      </c>
      <c r="B118" s="16" t="s">
        <v>303</v>
      </c>
      <c r="C118" s="7" t="s">
        <v>304</v>
      </c>
      <c r="D118" s="6" t="s">
        <v>102</v>
      </c>
      <c r="E118" s="17"/>
      <c r="F118" s="14"/>
      <c r="G118" s="6"/>
    </row>
    <row r="119" spans="1:7" x14ac:dyDescent="0.25">
      <c r="A119" s="15" t="s">
        <v>290</v>
      </c>
      <c r="B119" s="16" t="s">
        <v>305</v>
      </c>
      <c r="C119" s="7" t="s">
        <v>306</v>
      </c>
      <c r="D119" s="6" t="s">
        <v>102</v>
      </c>
      <c r="E119" s="17"/>
      <c r="F119" s="14"/>
      <c r="G119" s="6"/>
    </row>
    <row r="120" spans="1:7" x14ac:dyDescent="0.25">
      <c r="A120" s="15" t="s">
        <v>290</v>
      </c>
      <c r="B120" s="16" t="s">
        <v>307</v>
      </c>
      <c r="C120" s="7" t="s">
        <v>308</v>
      </c>
      <c r="D120" s="6" t="s">
        <v>102</v>
      </c>
      <c r="E120" s="17"/>
      <c r="F120" s="14"/>
      <c r="G120" s="6"/>
    </row>
    <row r="121" spans="1:7" x14ac:dyDescent="0.25">
      <c r="A121" s="15" t="s">
        <v>309</v>
      </c>
      <c r="B121" s="16" t="s">
        <v>310</v>
      </c>
      <c r="C121" s="7" t="s">
        <v>311</v>
      </c>
      <c r="D121" s="6" t="s">
        <v>91</v>
      </c>
      <c r="E121" s="17"/>
      <c r="F121" s="14"/>
      <c r="G121" s="6"/>
    </row>
    <row r="122" spans="1:7" x14ac:dyDescent="0.25">
      <c r="A122" s="15" t="s">
        <v>309</v>
      </c>
      <c r="B122" s="16" t="s">
        <v>312</v>
      </c>
      <c r="C122" s="7" t="s">
        <v>313</v>
      </c>
      <c r="D122" s="6" t="s">
        <v>314</v>
      </c>
      <c r="E122" s="17"/>
      <c r="F122" s="14"/>
      <c r="G122" s="6"/>
    </row>
    <row r="123" spans="1:7" x14ac:dyDescent="0.25">
      <c r="A123" s="15" t="s">
        <v>309</v>
      </c>
      <c r="B123" s="16" t="s">
        <v>315</v>
      </c>
      <c r="C123" s="7" t="s">
        <v>316</v>
      </c>
      <c r="D123" s="6" t="s">
        <v>91</v>
      </c>
      <c r="E123" s="17"/>
      <c r="F123" s="14"/>
      <c r="G123" s="6"/>
    </row>
    <row r="124" spans="1:7" x14ac:dyDescent="0.25">
      <c r="A124" s="15" t="s">
        <v>309</v>
      </c>
      <c r="B124" s="16" t="s">
        <v>317</v>
      </c>
      <c r="C124" s="7" t="s">
        <v>318</v>
      </c>
      <c r="D124" s="6" t="s">
        <v>91</v>
      </c>
      <c r="E124" s="17"/>
      <c r="F124" s="14"/>
      <c r="G124" s="6"/>
    </row>
    <row r="125" spans="1:7" x14ac:dyDescent="0.25">
      <c r="A125" s="15" t="s">
        <v>309</v>
      </c>
      <c r="B125" s="16" t="s">
        <v>319</v>
      </c>
      <c r="C125" s="7" t="s">
        <v>320</v>
      </c>
      <c r="D125" s="6" t="s">
        <v>91</v>
      </c>
      <c r="E125" s="17"/>
      <c r="F125" s="14"/>
      <c r="G125" s="6"/>
    </row>
    <row r="126" spans="1:7" x14ac:dyDescent="0.25">
      <c r="A126" s="15" t="s">
        <v>309</v>
      </c>
      <c r="B126" s="16" t="s">
        <v>321</v>
      </c>
      <c r="C126" s="7" t="s">
        <v>322</v>
      </c>
      <c r="D126" s="6" t="s">
        <v>91</v>
      </c>
      <c r="E126" s="17"/>
      <c r="F126" s="14"/>
      <c r="G126" s="6"/>
    </row>
    <row r="127" spans="1:7" x14ac:dyDescent="0.25">
      <c r="A127" s="15" t="s">
        <v>309</v>
      </c>
      <c r="B127" s="16" t="s">
        <v>323</v>
      </c>
      <c r="C127" s="7" t="s">
        <v>324</v>
      </c>
      <c r="D127" s="6" t="s">
        <v>325</v>
      </c>
      <c r="E127" s="17"/>
      <c r="F127" s="14"/>
      <c r="G127" s="6"/>
    </row>
    <row r="128" spans="1:7" x14ac:dyDescent="0.25">
      <c r="A128" s="15" t="s">
        <v>309</v>
      </c>
      <c r="B128" s="16" t="s">
        <v>326</v>
      </c>
      <c r="C128" s="7" t="s">
        <v>327</v>
      </c>
      <c r="D128" s="6" t="s">
        <v>328</v>
      </c>
      <c r="E128" s="17"/>
      <c r="F128" s="14"/>
      <c r="G128" s="6"/>
    </row>
  </sheetData>
  <autoFilter ref="A1:G128" xr:uid="{F1195EB5-46E8-4436-8056-7EC04C97B00E}"/>
  <dataValidations count="1">
    <dataValidation type="list" allowBlank="1" showInputMessage="1" showErrorMessage="1" sqref="E2:E128" xr:uid="{3FEA8ACA-9F74-42C5-80EB-821DAAB62D0C}">
      <mc:AlternateContent xmlns:x12ac="http://schemas.microsoft.com/office/spreadsheetml/2011/1/ac" xmlns:mc="http://schemas.openxmlformats.org/markup-compatibility/2006">
        <mc:Choice Requires="x12ac">
          <x12ac:list>"Sí,No"</x12ac:list>
        </mc:Choice>
        <mc:Fallback>
          <formula1>"Sí,No"</formula1>
        </mc:Fallback>
      </mc:AlternateContent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D9DF-CB05-425B-9105-7EC609B4B6FE}">
  <dimension ref="A1:H200"/>
  <sheetViews>
    <sheetView workbookViewId="0">
      <pane ySplit="1" topLeftCell="A50" activePane="bottomLeft" state="frozen"/>
      <selection pane="bottomLeft" activeCell="A2" sqref="A2"/>
    </sheetView>
  </sheetViews>
  <sheetFormatPr baseColWidth="10" defaultRowHeight="15" x14ac:dyDescent="0.25"/>
  <cols>
    <col min="1" max="1" width="22.7109375" customWidth="1"/>
    <col min="2" max="2" width="42.7109375" customWidth="1"/>
    <col min="3" max="3" width="16.7109375" customWidth="1"/>
    <col min="4" max="4" width="60.7109375" customWidth="1"/>
    <col min="5" max="5" width="18.7109375" customWidth="1"/>
    <col min="6" max="6" width="34.7109375" customWidth="1"/>
    <col min="7" max="7" width="26.7109375" customWidth="1"/>
    <col min="8" max="8" width="34.7109375" customWidth="1"/>
  </cols>
  <sheetData>
    <row r="1" spans="1:8" ht="32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63.75" x14ac:dyDescent="0.25">
      <c r="A2" s="6" t="s">
        <v>463</v>
      </c>
      <c r="B2" s="6" t="s">
        <v>527</v>
      </c>
      <c r="C2" s="14">
        <v>6600</v>
      </c>
      <c r="D2" s="7" t="s">
        <v>528</v>
      </c>
      <c r="E2" s="6" t="s">
        <v>572</v>
      </c>
      <c r="F2" s="6" t="s">
        <v>573</v>
      </c>
      <c r="G2" s="6"/>
      <c r="H2" s="7" t="s">
        <v>574</v>
      </c>
    </row>
    <row r="3" spans="1:8" ht="63.75" x14ac:dyDescent="0.25">
      <c r="A3" s="6" t="s">
        <v>463</v>
      </c>
      <c r="B3" s="6" t="s">
        <v>433</v>
      </c>
      <c r="C3" s="14">
        <v>11000</v>
      </c>
      <c r="D3" s="7" t="s">
        <v>530</v>
      </c>
      <c r="E3" s="6" t="s">
        <v>575</v>
      </c>
      <c r="F3" s="6" t="s">
        <v>573</v>
      </c>
      <c r="G3" s="6"/>
      <c r="H3" s="7" t="s">
        <v>576</v>
      </c>
    </row>
    <row r="4" spans="1:8" ht="63.75" x14ac:dyDescent="0.25">
      <c r="A4" s="6" t="s">
        <v>463</v>
      </c>
      <c r="B4" s="6" t="s">
        <v>531</v>
      </c>
      <c r="C4" s="14">
        <v>6600</v>
      </c>
      <c r="D4" s="7" t="s">
        <v>532</v>
      </c>
      <c r="E4" s="6" t="s">
        <v>577</v>
      </c>
      <c r="F4" s="6" t="s">
        <v>573</v>
      </c>
      <c r="G4" s="6"/>
      <c r="H4" s="7" t="s">
        <v>578</v>
      </c>
    </row>
    <row r="5" spans="1:8" ht="63.75" x14ac:dyDescent="0.25">
      <c r="A5" s="6" t="s">
        <v>463</v>
      </c>
      <c r="B5" s="6" t="s">
        <v>430</v>
      </c>
      <c r="C5" s="14">
        <v>6600</v>
      </c>
      <c r="D5" s="7" t="s">
        <v>533</v>
      </c>
      <c r="E5" s="6" t="s">
        <v>579</v>
      </c>
      <c r="F5" s="6" t="s">
        <v>573</v>
      </c>
      <c r="G5" s="6"/>
      <c r="H5" s="7" t="s">
        <v>580</v>
      </c>
    </row>
    <row r="6" spans="1:8" ht="63.75" x14ac:dyDescent="0.25">
      <c r="A6" s="6" t="s">
        <v>463</v>
      </c>
      <c r="B6" s="6" t="s">
        <v>434</v>
      </c>
      <c r="C6" s="14">
        <v>8400</v>
      </c>
      <c r="D6" s="7" t="s">
        <v>435</v>
      </c>
      <c r="E6" s="6" t="s">
        <v>581</v>
      </c>
      <c r="F6" s="6" t="s">
        <v>573</v>
      </c>
      <c r="G6" s="6"/>
      <c r="H6" s="7" t="s">
        <v>582</v>
      </c>
    </row>
    <row r="7" spans="1:8" ht="63.75" x14ac:dyDescent="0.25">
      <c r="A7" s="6" t="s">
        <v>463</v>
      </c>
      <c r="B7" s="6" t="s">
        <v>440</v>
      </c>
      <c r="C7" s="14">
        <v>9000</v>
      </c>
      <c r="D7" s="7" t="s">
        <v>534</v>
      </c>
      <c r="E7" s="6" t="s">
        <v>583</v>
      </c>
      <c r="F7" s="6" t="s">
        <v>573</v>
      </c>
      <c r="G7" s="6"/>
      <c r="H7" s="7" t="s">
        <v>584</v>
      </c>
    </row>
    <row r="8" spans="1:8" ht="63.75" x14ac:dyDescent="0.25">
      <c r="A8" s="6" t="s">
        <v>463</v>
      </c>
      <c r="B8" s="6" t="s">
        <v>535</v>
      </c>
      <c r="C8" s="14">
        <v>15400</v>
      </c>
      <c r="D8" s="7" t="s">
        <v>536</v>
      </c>
      <c r="E8" s="6" t="s">
        <v>585</v>
      </c>
      <c r="F8" s="6" t="s">
        <v>573</v>
      </c>
      <c r="G8" s="6"/>
      <c r="H8" s="7" t="s">
        <v>586</v>
      </c>
    </row>
    <row r="9" spans="1:8" ht="63.75" x14ac:dyDescent="0.25">
      <c r="A9" s="6" t="s">
        <v>463</v>
      </c>
      <c r="B9" s="6" t="s">
        <v>431</v>
      </c>
      <c r="C9" s="14">
        <v>15400</v>
      </c>
      <c r="D9" s="7" t="s">
        <v>533</v>
      </c>
      <c r="E9" s="6" t="s">
        <v>587</v>
      </c>
      <c r="F9" s="6" t="s">
        <v>573</v>
      </c>
      <c r="G9" s="6"/>
      <c r="H9" s="7" t="s">
        <v>588</v>
      </c>
    </row>
    <row r="10" spans="1:8" ht="63.75" x14ac:dyDescent="0.25">
      <c r="A10" s="6" t="s">
        <v>463</v>
      </c>
      <c r="B10" s="6" t="s">
        <v>537</v>
      </c>
      <c r="C10" s="14">
        <v>26000</v>
      </c>
      <c r="D10" s="7" t="s">
        <v>536</v>
      </c>
      <c r="E10" s="6" t="s">
        <v>589</v>
      </c>
      <c r="F10" s="6" t="s">
        <v>573</v>
      </c>
      <c r="G10" s="6"/>
      <c r="H10" s="7" t="s">
        <v>590</v>
      </c>
    </row>
    <row r="11" spans="1:8" ht="63.75" x14ac:dyDescent="0.25">
      <c r="A11" s="6" t="s">
        <v>463</v>
      </c>
      <c r="B11" s="6" t="s">
        <v>432</v>
      </c>
      <c r="C11" s="14">
        <v>11000</v>
      </c>
      <c r="D11" s="7" t="s">
        <v>538</v>
      </c>
      <c r="E11" s="6" t="s">
        <v>591</v>
      </c>
      <c r="F11" s="6" t="s">
        <v>573</v>
      </c>
      <c r="G11" s="6"/>
      <c r="H11" s="7" t="s">
        <v>592</v>
      </c>
    </row>
    <row r="12" spans="1:8" ht="63.75" x14ac:dyDescent="0.25">
      <c r="A12" s="6" t="s">
        <v>463</v>
      </c>
      <c r="B12" s="6" t="s">
        <v>438</v>
      </c>
      <c r="C12" s="14">
        <v>14000</v>
      </c>
      <c r="D12" s="7" t="s">
        <v>439</v>
      </c>
      <c r="E12" s="6" t="s">
        <v>593</v>
      </c>
      <c r="F12" s="6" t="s">
        <v>573</v>
      </c>
      <c r="G12" s="6"/>
      <c r="H12" s="7" t="s">
        <v>594</v>
      </c>
    </row>
    <row r="13" spans="1:8" ht="63.75" x14ac:dyDescent="0.25">
      <c r="A13" s="6" t="s">
        <v>463</v>
      </c>
      <c r="B13" s="6" t="s">
        <v>539</v>
      </c>
      <c r="C13" s="14">
        <v>13200</v>
      </c>
      <c r="D13" s="7" t="s">
        <v>536</v>
      </c>
      <c r="E13" s="6" t="s">
        <v>595</v>
      </c>
      <c r="F13" s="6" t="s">
        <v>573</v>
      </c>
      <c r="G13" s="6"/>
      <c r="H13" s="7" t="s">
        <v>596</v>
      </c>
    </row>
    <row r="14" spans="1:8" ht="63.75" x14ac:dyDescent="0.25">
      <c r="A14" s="6" t="s">
        <v>463</v>
      </c>
      <c r="B14" s="6" t="s">
        <v>436</v>
      </c>
      <c r="C14" s="14">
        <v>16800</v>
      </c>
      <c r="D14" s="7" t="s">
        <v>435</v>
      </c>
      <c r="E14" s="6" t="s">
        <v>597</v>
      </c>
      <c r="F14" s="6" t="s">
        <v>573</v>
      </c>
      <c r="G14" s="6"/>
      <c r="H14" s="7" t="s">
        <v>598</v>
      </c>
    </row>
    <row r="15" spans="1:8" ht="63.75" x14ac:dyDescent="0.25">
      <c r="A15" s="6" t="s">
        <v>463</v>
      </c>
      <c r="B15" s="6" t="s">
        <v>441</v>
      </c>
      <c r="C15" s="14">
        <v>18000</v>
      </c>
      <c r="D15" s="7" t="s">
        <v>534</v>
      </c>
      <c r="E15" s="6" t="s">
        <v>599</v>
      </c>
      <c r="F15" s="6" t="s">
        <v>573</v>
      </c>
      <c r="G15" s="6"/>
      <c r="H15" s="7" t="s">
        <v>600</v>
      </c>
    </row>
    <row r="16" spans="1:8" ht="63.75" x14ac:dyDescent="0.25">
      <c r="A16" s="6" t="s">
        <v>463</v>
      </c>
      <c r="B16" s="6" t="s">
        <v>540</v>
      </c>
      <c r="C16" s="14">
        <v>28000</v>
      </c>
      <c r="D16" s="7" t="s">
        <v>536</v>
      </c>
      <c r="E16" s="6" t="s">
        <v>601</v>
      </c>
      <c r="F16" s="6" t="s">
        <v>573</v>
      </c>
      <c r="G16" s="6"/>
      <c r="H16" s="7" t="s">
        <v>602</v>
      </c>
    </row>
    <row r="17" spans="1:8" ht="63.75" x14ac:dyDescent="0.25">
      <c r="A17" s="6" t="s">
        <v>463</v>
      </c>
      <c r="B17" s="6" t="s">
        <v>541</v>
      </c>
      <c r="C17" s="14">
        <v>26000</v>
      </c>
      <c r="D17" s="7" t="s">
        <v>536</v>
      </c>
      <c r="E17" s="6" t="s">
        <v>603</v>
      </c>
      <c r="F17" s="6" t="s">
        <v>573</v>
      </c>
      <c r="G17" s="6"/>
      <c r="H17" s="7" t="s">
        <v>604</v>
      </c>
    </row>
    <row r="18" spans="1:8" ht="63.75" x14ac:dyDescent="0.25">
      <c r="A18" s="6" t="s">
        <v>463</v>
      </c>
      <c r="B18" s="6" t="s">
        <v>437</v>
      </c>
      <c r="C18" s="14">
        <v>32800</v>
      </c>
      <c r="D18" s="7" t="s">
        <v>435</v>
      </c>
      <c r="E18" s="6" t="s">
        <v>605</v>
      </c>
      <c r="F18" s="6" t="s">
        <v>573</v>
      </c>
      <c r="G18" s="6"/>
      <c r="H18" s="7" t="s">
        <v>606</v>
      </c>
    </row>
    <row r="19" spans="1:8" ht="63.75" x14ac:dyDescent="0.25">
      <c r="A19" s="6" t="s">
        <v>463</v>
      </c>
      <c r="B19" s="6" t="s">
        <v>442</v>
      </c>
      <c r="C19" s="14">
        <v>35100</v>
      </c>
      <c r="D19" s="7" t="s">
        <v>534</v>
      </c>
      <c r="E19" s="6" t="s">
        <v>607</v>
      </c>
      <c r="F19" s="6" t="s">
        <v>573</v>
      </c>
      <c r="G19" s="6"/>
      <c r="H19" s="7" t="s">
        <v>608</v>
      </c>
    </row>
    <row r="20" spans="1:8" ht="63.75" x14ac:dyDescent="0.25">
      <c r="A20" s="6" t="s">
        <v>463</v>
      </c>
      <c r="B20" s="6" t="s">
        <v>482</v>
      </c>
      <c r="C20" s="14">
        <v>19800</v>
      </c>
      <c r="D20" s="7" t="s">
        <v>542</v>
      </c>
      <c r="E20" s="6" t="s">
        <v>609</v>
      </c>
      <c r="F20" s="6" t="s">
        <v>573</v>
      </c>
      <c r="G20" s="6"/>
      <c r="H20" s="7" t="s">
        <v>610</v>
      </c>
    </row>
    <row r="21" spans="1:8" ht="63.75" x14ac:dyDescent="0.25">
      <c r="A21" s="6" t="s">
        <v>463</v>
      </c>
      <c r="B21" s="6" t="s">
        <v>483</v>
      </c>
      <c r="C21" s="14">
        <v>34000</v>
      </c>
      <c r="D21" s="7" t="s">
        <v>542</v>
      </c>
      <c r="E21" s="6" t="s">
        <v>611</v>
      </c>
      <c r="F21" s="6" t="s">
        <v>573</v>
      </c>
      <c r="G21" s="6"/>
      <c r="H21" s="7" t="s">
        <v>612</v>
      </c>
    </row>
    <row r="22" spans="1:8" ht="63.75" x14ac:dyDescent="0.25">
      <c r="A22" s="6" t="s">
        <v>548</v>
      </c>
      <c r="B22" s="6" t="s">
        <v>549</v>
      </c>
      <c r="C22" s="14">
        <v>14000</v>
      </c>
      <c r="D22" s="7" t="s">
        <v>550</v>
      </c>
      <c r="E22" s="6" t="s">
        <v>613</v>
      </c>
      <c r="F22" s="6" t="s">
        <v>614</v>
      </c>
      <c r="G22" s="6"/>
      <c r="H22" s="7" t="s">
        <v>615</v>
      </c>
    </row>
    <row r="23" spans="1:8" ht="63.75" x14ac:dyDescent="0.25">
      <c r="A23" s="6" t="s">
        <v>548</v>
      </c>
      <c r="B23" s="6" t="s">
        <v>551</v>
      </c>
      <c r="C23" s="14">
        <v>17500</v>
      </c>
      <c r="D23" s="7" t="s">
        <v>552</v>
      </c>
      <c r="E23" s="6" t="s">
        <v>616</v>
      </c>
      <c r="F23" s="6" t="s">
        <v>614</v>
      </c>
      <c r="G23" s="6"/>
      <c r="H23" s="7" t="s">
        <v>617</v>
      </c>
    </row>
    <row r="24" spans="1:8" ht="63.75" x14ac:dyDescent="0.25">
      <c r="A24" s="6" t="s">
        <v>548</v>
      </c>
      <c r="B24" s="6" t="s">
        <v>553</v>
      </c>
      <c r="C24" s="14">
        <v>14000</v>
      </c>
      <c r="D24" s="7" t="s">
        <v>552</v>
      </c>
      <c r="E24" s="6" t="s">
        <v>618</v>
      </c>
      <c r="F24" s="6" t="s">
        <v>614</v>
      </c>
      <c r="G24" s="6"/>
      <c r="H24" s="7" t="s">
        <v>619</v>
      </c>
    </row>
    <row r="25" spans="1:8" ht="63.75" x14ac:dyDescent="0.25">
      <c r="A25" s="6" t="s">
        <v>548</v>
      </c>
      <c r="B25" s="6" t="s">
        <v>554</v>
      </c>
      <c r="C25" s="14">
        <v>28000</v>
      </c>
      <c r="D25" s="7" t="s">
        <v>552</v>
      </c>
      <c r="E25" s="6" t="s">
        <v>620</v>
      </c>
      <c r="F25" s="6" t="s">
        <v>614</v>
      </c>
      <c r="G25" s="6"/>
      <c r="H25" s="7" t="s">
        <v>621</v>
      </c>
    </row>
    <row r="26" spans="1:8" ht="63.75" x14ac:dyDescent="0.25">
      <c r="A26" s="6" t="s">
        <v>548</v>
      </c>
      <c r="B26" s="6" t="s">
        <v>555</v>
      </c>
      <c r="C26" s="14">
        <v>19600</v>
      </c>
      <c r="D26" s="7" t="s">
        <v>556</v>
      </c>
      <c r="E26" s="6" t="s">
        <v>622</v>
      </c>
      <c r="F26" s="6" t="s">
        <v>614</v>
      </c>
      <c r="G26" s="6"/>
      <c r="H26" s="7" t="s">
        <v>623</v>
      </c>
    </row>
    <row r="27" spans="1:8" ht="63.75" x14ac:dyDescent="0.25">
      <c r="A27" s="6" t="s">
        <v>548</v>
      </c>
      <c r="B27" s="6" t="s">
        <v>557</v>
      </c>
      <c r="C27" s="14">
        <v>39200</v>
      </c>
      <c r="D27" s="7" t="s">
        <v>556</v>
      </c>
      <c r="E27" s="6" t="s">
        <v>624</v>
      </c>
      <c r="F27" s="6" t="s">
        <v>614</v>
      </c>
      <c r="G27" s="6"/>
      <c r="H27" s="7" t="s">
        <v>625</v>
      </c>
    </row>
    <row r="28" spans="1:8" ht="63.75" x14ac:dyDescent="0.25">
      <c r="A28" s="6" t="s">
        <v>443</v>
      </c>
      <c r="B28" s="6" t="s">
        <v>444</v>
      </c>
      <c r="C28" s="14">
        <v>10500</v>
      </c>
      <c r="D28" s="7" t="s">
        <v>484</v>
      </c>
      <c r="E28" s="6" t="s">
        <v>626</v>
      </c>
      <c r="F28" s="6" t="s">
        <v>627</v>
      </c>
      <c r="G28" s="6"/>
      <c r="H28" s="7" t="s">
        <v>628</v>
      </c>
    </row>
    <row r="29" spans="1:8" ht="63.75" x14ac:dyDescent="0.25">
      <c r="A29" s="6" t="s">
        <v>443</v>
      </c>
      <c r="B29" s="6" t="s">
        <v>449</v>
      </c>
      <c r="C29" s="14">
        <v>15000</v>
      </c>
      <c r="D29" s="7" t="s">
        <v>450</v>
      </c>
      <c r="E29" s="6" t="s">
        <v>629</v>
      </c>
      <c r="F29" s="6" t="s">
        <v>627</v>
      </c>
      <c r="G29" s="6"/>
      <c r="H29" s="7" t="s">
        <v>630</v>
      </c>
    </row>
    <row r="30" spans="1:8" ht="63.75" x14ac:dyDescent="0.25">
      <c r="A30" s="6" t="s">
        <v>443</v>
      </c>
      <c r="B30" s="6" t="s">
        <v>445</v>
      </c>
      <c r="C30" s="14">
        <v>14700</v>
      </c>
      <c r="D30" s="7" t="s">
        <v>484</v>
      </c>
      <c r="E30" s="6" t="s">
        <v>631</v>
      </c>
      <c r="F30" s="6" t="s">
        <v>627</v>
      </c>
      <c r="G30" s="6"/>
      <c r="H30" s="7" t="s">
        <v>632</v>
      </c>
    </row>
    <row r="31" spans="1:8" ht="63.75" x14ac:dyDescent="0.25">
      <c r="A31" s="6" t="s">
        <v>443</v>
      </c>
      <c r="B31" s="6" t="s">
        <v>451</v>
      </c>
      <c r="C31" s="14">
        <v>21000</v>
      </c>
      <c r="D31" s="7" t="s">
        <v>450</v>
      </c>
      <c r="E31" s="6" t="s">
        <v>633</v>
      </c>
      <c r="F31" s="6" t="s">
        <v>627</v>
      </c>
      <c r="G31" s="6"/>
      <c r="H31" s="7" t="s">
        <v>634</v>
      </c>
    </row>
    <row r="32" spans="1:8" ht="63.75" x14ac:dyDescent="0.25">
      <c r="A32" s="6" t="s">
        <v>443</v>
      </c>
      <c r="B32" s="6" t="s">
        <v>446</v>
      </c>
      <c r="C32" s="14">
        <v>21000</v>
      </c>
      <c r="D32" s="7" t="s">
        <v>447</v>
      </c>
      <c r="E32" s="6" t="s">
        <v>635</v>
      </c>
      <c r="F32" s="6" t="s">
        <v>627</v>
      </c>
      <c r="G32" s="6"/>
      <c r="H32" s="7" t="s">
        <v>636</v>
      </c>
    </row>
    <row r="33" spans="1:8" ht="63.75" x14ac:dyDescent="0.25">
      <c r="A33" s="6" t="s">
        <v>443</v>
      </c>
      <c r="B33" s="6" t="s">
        <v>452</v>
      </c>
      <c r="C33" s="14">
        <v>30000</v>
      </c>
      <c r="D33" s="7" t="s">
        <v>450</v>
      </c>
      <c r="E33" s="6" t="s">
        <v>637</v>
      </c>
      <c r="F33" s="6" t="s">
        <v>627</v>
      </c>
      <c r="G33" s="6"/>
      <c r="H33" s="7" t="s">
        <v>638</v>
      </c>
    </row>
    <row r="34" spans="1:8" ht="63.75" x14ac:dyDescent="0.25">
      <c r="A34" s="6" t="s">
        <v>443</v>
      </c>
      <c r="B34" s="6" t="s">
        <v>453</v>
      </c>
      <c r="C34" s="14">
        <v>45000</v>
      </c>
      <c r="D34" s="7" t="s">
        <v>450</v>
      </c>
      <c r="E34" s="6" t="s">
        <v>639</v>
      </c>
      <c r="F34" s="6" t="s">
        <v>627</v>
      </c>
      <c r="G34" s="6"/>
      <c r="H34" s="7" t="s">
        <v>640</v>
      </c>
    </row>
    <row r="35" spans="1:8" ht="63.75" x14ac:dyDescent="0.25">
      <c r="A35" s="6" t="s">
        <v>443</v>
      </c>
      <c r="B35" s="6" t="s">
        <v>448</v>
      </c>
      <c r="C35" s="14">
        <v>42000</v>
      </c>
      <c r="D35" s="7" t="s">
        <v>447</v>
      </c>
      <c r="E35" s="6" t="s">
        <v>641</v>
      </c>
      <c r="F35" s="6" t="s">
        <v>627</v>
      </c>
      <c r="G35" s="6"/>
      <c r="H35" s="7" t="s">
        <v>642</v>
      </c>
    </row>
    <row r="36" spans="1:8" ht="63.75" x14ac:dyDescent="0.25">
      <c r="A36" s="6" t="s">
        <v>454</v>
      </c>
      <c r="B36" s="6" t="s">
        <v>455</v>
      </c>
      <c r="C36" s="14">
        <v>16000</v>
      </c>
      <c r="D36" s="7" t="s">
        <v>456</v>
      </c>
      <c r="E36" s="6" t="s">
        <v>643</v>
      </c>
      <c r="F36" s="6" t="s">
        <v>644</v>
      </c>
      <c r="G36" s="6"/>
      <c r="H36" s="7" t="s">
        <v>645</v>
      </c>
    </row>
    <row r="37" spans="1:8" ht="63.75" x14ac:dyDescent="0.25">
      <c r="A37" s="6" t="s">
        <v>454</v>
      </c>
      <c r="B37" s="6" t="s">
        <v>457</v>
      </c>
      <c r="C37" s="14">
        <v>16800</v>
      </c>
      <c r="D37" s="7" t="s">
        <v>456</v>
      </c>
      <c r="E37" s="6" t="s">
        <v>646</v>
      </c>
      <c r="F37" s="6" t="s">
        <v>644</v>
      </c>
      <c r="G37" s="6"/>
      <c r="H37" s="7" t="s">
        <v>647</v>
      </c>
    </row>
    <row r="38" spans="1:8" ht="63.75" x14ac:dyDescent="0.25">
      <c r="A38" s="6" t="s">
        <v>454</v>
      </c>
      <c r="B38" s="6" t="s">
        <v>458</v>
      </c>
      <c r="C38" s="14">
        <v>32000</v>
      </c>
      <c r="D38" s="7" t="s">
        <v>456</v>
      </c>
      <c r="E38" s="6" t="s">
        <v>648</v>
      </c>
      <c r="F38" s="6" t="s">
        <v>644</v>
      </c>
      <c r="G38" s="6"/>
      <c r="H38" s="7" t="s">
        <v>649</v>
      </c>
    </row>
    <row r="39" spans="1:8" ht="63.75" x14ac:dyDescent="0.25">
      <c r="A39" s="6" t="s">
        <v>454</v>
      </c>
      <c r="B39" s="6" t="s">
        <v>459</v>
      </c>
      <c r="C39" s="14">
        <v>48000</v>
      </c>
      <c r="D39" s="7" t="s">
        <v>456</v>
      </c>
      <c r="E39" s="6" t="s">
        <v>650</v>
      </c>
      <c r="F39" s="6" t="s">
        <v>644</v>
      </c>
      <c r="G39" s="6"/>
      <c r="H39" s="7" t="s">
        <v>651</v>
      </c>
    </row>
    <row r="40" spans="1:8" ht="63.75" x14ac:dyDescent="0.25">
      <c r="A40" s="6" t="s">
        <v>454</v>
      </c>
      <c r="B40" s="6" t="s">
        <v>460</v>
      </c>
      <c r="C40" s="14">
        <v>64000</v>
      </c>
      <c r="D40" s="7" t="s">
        <v>456</v>
      </c>
      <c r="E40" s="6" t="s">
        <v>652</v>
      </c>
      <c r="F40" s="6" t="s">
        <v>644</v>
      </c>
      <c r="G40" s="6"/>
      <c r="H40" s="7" t="s">
        <v>653</v>
      </c>
    </row>
    <row r="41" spans="1:8" ht="25.5" x14ac:dyDescent="0.25">
      <c r="A41" s="6" t="s">
        <v>8</v>
      </c>
      <c r="B41" s="6" t="s">
        <v>654</v>
      </c>
      <c r="C41" s="14">
        <v>13200</v>
      </c>
      <c r="D41" s="7" t="s">
        <v>655</v>
      </c>
      <c r="E41" s="6" t="s">
        <v>656</v>
      </c>
      <c r="F41" s="6" t="s">
        <v>657</v>
      </c>
    </row>
    <row r="42" spans="1:8" ht="25.5" x14ac:dyDescent="0.25">
      <c r="A42" s="6" t="s">
        <v>8</v>
      </c>
      <c r="B42" s="6" t="s">
        <v>658</v>
      </c>
      <c r="C42" s="14">
        <v>16500</v>
      </c>
      <c r="D42" s="7" t="s">
        <v>659</v>
      </c>
      <c r="E42" s="6" t="s">
        <v>660</v>
      </c>
      <c r="F42" s="6" t="s">
        <v>657</v>
      </c>
    </row>
    <row r="43" spans="1:8" ht="25.5" x14ac:dyDescent="0.25">
      <c r="A43" s="6" t="s">
        <v>8</v>
      </c>
      <c r="B43" s="6" t="s">
        <v>661</v>
      </c>
      <c r="C43" s="14">
        <v>16500</v>
      </c>
      <c r="D43" s="7" t="s">
        <v>662</v>
      </c>
      <c r="E43" s="6" t="s">
        <v>663</v>
      </c>
      <c r="F43" s="6" t="s">
        <v>657</v>
      </c>
    </row>
    <row r="44" spans="1:8" ht="25.5" x14ac:dyDescent="0.25">
      <c r="A44" s="6" t="s">
        <v>8</v>
      </c>
      <c r="B44" s="6" t="s">
        <v>664</v>
      </c>
      <c r="C44" s="14">
        <v>18700</v>
      </c>
      <c r="D44" s="7" t="s">
        <v>665</v>
      </c>
      <c r="E44" s="6" t="s">
        <v>666</v>
      </c>
      <c r="F44" s="6" t="s">
        <v>657</v>
      </c>
    </row>
    <row r="45" spans="1:8" ht="25.5" x14ac:dyDescent="0.25">
      <c r="A45" s="6" t="s">
        <v>8</v>
      </c>
      <c r="B45" s="6" t="s">
        <v>667</v>
      </c>
      <c r="C45" s="14">
        <v>28000</v>
      </c>
      <c r="D45" s="7" t="s">
        <v>655</v>
      </c>
      <c r="E45" s="6" t="s">
        <v>668</v>
      </c>
      <c r="F45" s="6" t="s">
        <v>657</v>
      </c>
    </row>
    <row r="46" spans="1:8" ht="25.5" x14ac:dyDescent="0.25">
      <c r="A46" s="6" t="s">
        <v>8</v>
      </c>
      <c r="B46" s="6" t="s">
        <v>669</v>
      </c>
      <c r="C46" s="14">
        <v>38000</v>
      </c>
      <c r="D46" s="7" t="s">
        <v>659</v>
      </c>
      <c r="E46" s="6" t="s">
        <v>670</v>
      </c>
      <c r="F46" s="6" t="s">
        <v>657</v>
      </c>
    </row>
    <row r="47" spans="1:8" ht="25.5" x14ac:dyDescent="0.25">
      <c r="A47" s="6" t="s">
        <v>8</v>
      </c>
      <c r="B47" s="6" t="s">
        <v>671</v>
      </c>
      <c r="C47" s="14">
        <v>38000</v>
      </c>
      <c r="D47" s="7" t="s">
        <v>662</v>
      </c>
      <c r="E47" s="6" t="s">
        <v>672</v>
      </c>
      <c r="F47" s="6" t="s">
        <v>657</v>
      </c>
    </row>
    <row r="48" spans="1:8" ht="25.5" x14ac:dyDescent="0.25">
      <c r="A48" s="6" t="s">
        <v>8</v>
      </c>
      <c r="B48" s="6" t="s">
        <v>673</v>
      </c>
      <c r="C48" s="14">
        <v>45000</v>
      </c>
      <c r="D48" s="7" t="s">
        <v>665</v>
      </c>
      <c r="E48" s="6" t="s">
        <v>674</v>
      </c>
      <c r="F48" s="6" t="s">
        <v>657</v>
      </c>
    </row>
    <row r="49" spans="1:8" ht="25.5" x14ac:dyDescent="0.25">
      <c r="A49" s="6" t="s">
        <v>8</v>
      </c>
      <c r="B49" s="6" t="s">
        <v>675</v>
      </c>
      <c r="C49" s="14">
        <v>35000</v>
      </c>
      <c r="D49" s="7" t="s">
        <v>676</v>
      </c>
      <c r="E49" s="6" t="s">
        <v>677</v>
      </c>
      <c r="F49" s="6" t="s">
        <v>678</v>
      </c>
    </row>
    <row r="50" spans="1:8" ht="63.75" x14ac:dyDescent="0.25">
      <c r="A50" s="6" t="s">
        <v>8</v>
      </c>
      <c r="B50" s="6" t="s">
        <v>679</v>
      </c>
      <c r="C50" s="14">
        <f>SUMPRODUCT((ESCU_PROD="Sobres oficio inglés")*(ESCU_DESDE&lt;&gt;"")*(ESCU_DESDE&lt;=100)*((ESCU_HASTA&gt;=100)+(ESCU_HASTA=""))*ESCU_PRECIO)*100</f>
        <v>25000</v>
      </c>
      <c r="D50" s="7" t="s">
        <v>680</v>
      </c>
      <c r="E50" s="6" t="s">
        <v>681</v>
      </c>
      <c r="F50" s="6"/>
      <c r="G50" s="6"/>
      <c r="H50" s="7" t="s">
        <v>682</v>
      </c>
    </row>
    <row r="51" spans="1:8" ht="63.75" x14ac:dyDescent="0.25">
      <c r="A51" s="6" t="s">
        <v>8</v>
      </c>
      <c r="B51" s="6" t="s">
        <v>683</v>
      </c>
      <c r="C51" s="14">
        <f>SUMPRODUCT((ESCU_PROD="Sobres oficio inglés")*(ESCU_DESDE&lt;&gt;"")*(ESCU_DESDE&lt;=500)*((ESCU_HASTA&gt;=500)+(ESCU_HASTA=""))*ESCU_PRECIO)*500</f>
        <v>110000</v>
      </c>
      <c r="D51" s="7" t="s">
        <v>684</v>
      </c>
      <c r="E51" s="6" t="s">
        <v>685</v>
      </c>
      <c r="F51" s="6"/>
      <c r="G51" s="6"/>
      <c r="H51" s="7" t="s">
        <v>682</v>
      </c>
    </row>
    <row r="52" spans="1:8" ht="38.25" x14ac:dyDescent="0.25">
      <c r="A52" s="6" t="s">
        <v>8</v>
      </c>
      <c r="B52" s="6" t="s">
        <v>686</v>
      </c>
      <c r="C52" s="14">
        <v>54000</v>
      </c>
      <c r="D52" s="7" t="s">
        <v>687</v>
      </c>
      <c r="E52" s="6" t="s">
        <v>688</v>
      </c>
      <c r="F52" s="6"/>
      <c r="G52" s="6"/>
      <c r="H52" s="7" t="s">
        <v>689</v>
      </c>
    </row>
    <row r="53" spans="1:8" ht="51" x14ac:dyDescent="0.25">
      <c r="A53" s="6" t="s">
        <v>8</v>
      </c>
      <c r="B53" s="6" t="s">
        <v>690</v>
      </c>
      <c r="C53" s="14">
        <v>54000</v>
      </c>
      <c r="D53" s="7" t="s">
        <v>691</v>
      </c>
      <c r="E53" s="6" t="s">
        <v>692</v>
      </c>
      <c r="F53" s="6"/>
      <c r="G53" s="6"/>
      <c r="H53" s="7" t="s">
        <v>689</v>
      </c>
    </row>
    <row r="54" spans="1:8" ht="63.75" x14ac:dyDescent="0.25">
      <c r="A54" s="6" t="s">
        <v>8</v>
      </c>
      <c r="B54" s="6" t="s">
        <v>1208</v>
      </c>
      <c r="C54" s="14">
        <v>20000</v>
      </c>
      <c r="D54" s="7" t="s">
        <v>1209</v>
      </c>
      <c r="E54" s="6" t="s">
        <v>1210</v>
      </c>
      <c r="F54" s="6"/>
      <c r="G54" s="6"/>
      <c r="H54" s="7" t="s">
        <v>1211</v>
      </c>
    </row>
    <row r="55" spans="1:8" ht="63.75" x14ac:dyDescent="0.25">
      <c r="A55" s="6" t="s">
        <v>8</v>
      </c>
      <c r="B55" s="6" t="s">
        <v>694</v>
      </c>
      <c r="C55" s="14">
        <f>SUMPRODUCT((ESCU_PROD="Carpetas de presentación A4 laminadas")*(ESCU_DESDE&lt;&gt;"")*(ESCU_DESDE&lt;=10)*((ESCU_HASTA&gt;=10)+(ESCU_HASTA=""))*ESCU_PRECIO)*10</f>
        <v>30000</v>
      </c>
      <c r="D55" s="7" t="s">
        <v>695</v>
      </c>
      <c r="E55" s="6" t="s">
        <v>696</v>
      </c>
      <c r="F55" s="6"/>
      <c r="G55" s="6"/>
      <c r="H55" s="7" t="s">
        <v>697</v>
      </c>
    </row>
    <row r="56" spans="1:8" ht="63.75" x14ac:dyDescent="0.25">
      <c r="A56" s="6" t="s">
        <v>8</v>
      </c>
      <c r="B56" s="6" t="s">
        <v>698</v>
      </c>
      <c r="C56" s="14">
        <f>SUMPRODUCT((ESCU_PROD="Carpetas de presentación A4 sin laminar")*(ESCU_DESDE&lt;&gt;"")*(ESCU_DESDE&lt;=10)*((ESCU_HASTA&gt;=10)+(ESCU_HASTA=""))*ESCU_PRECIO)*10</f>
        <v>26000</v>
      </c>
      <c r="D56" s="7" t="s">
        <v>699</v>
      </c>
      <c r="E56" s="6" t="s">
        <v>700</v>
      </c>
      <c r="F56" s="6"/>
      <c r="G56" s="6"/>
      <c r="H56" s="7" t="s">
        <v>701</v>
      </c>
    </row>
    <row r="57" spans="1:8" ht="63.75" x14ac:dyDescent="0.25">
      <c r="A57" s="6" t="s">
        <v>8</v>
      </c>
      <c r="B57" s="6" t="s">
        <v>702</v>
      </c>
      <c r="C57" s="14"/>
      <c r="D57" s="7" t="s">
        <v>703</v>
      </c>
      <c r="E57" s="6" t="s">
        <v>704</v>
      </c>
      <c r="F57" s="6"/>
      <c r="G57" s="6"/>
      <c r="H57" s="7" t="s">
        <v>693</v>
      </c>
    </row>
    <row r="58" spans="1:8" ht="25.5" x14ac:dyDescent="0.25">
      <c r="A58" s="6" t="s">
        <v>10</v>
      </c>
      <c r="B58" s="6" t="s">
        <v>724</v>
      </c>
      <c r="C58" s="14">
        <v>7500</v>
      </c>
      <c r="D58" s="7" t="s">
        <v>725</v>
      </c>
      <c r="E58" s="6" t="s">
        <v>726</v>
      </c>
      <c r="F58" s="6" t="s">
        <v>727</v>
      </c>
      <c r="G58" s="6" t="s">
        <v>727</v>
      </c>
      <c r="H58" s="7" t="s">
        <v>728</v>
      </c>
    </row>
    <row r="59" spans="1:8" ht="25.5" x14ac:dyDescent="0.25">
      <c r="A59" s="6" t="s">
        <v>10</v>
      </c>
      <c r="B59" s="6" t="s">
        <v>729</v>
      </c>
      <c r="C59" s="14">
        <v>15000</v>
      </c>
      <c r="D59" s="7" t="s">
        <v>730</v>
      </c>
      <c r="E59" s="6" t="s">
        <v>731</v>
      </c>
      <c r="F59" s="6" t="s">
        <v>727</v>
      </c>
      <c r="G59" s="6" t="s">
        <v>727</v>
      </c>
      <c r="H59" s="7" t="s">
        <v>732</v>
      </c>
    </row>
    <row r="60" spans="1:8" ht="25.5" x14ac:dyDescent="0.25">
      <c r="A60" s="6" t="s">
        <v>10</v>
      </c>
      <c r="B60" s="6" t="s">
        <v>733</v>
      </c>
      <c r="C60" s="14">
        <v>40000</v>
      </c>
      <c r="D60" s="7" t="s">
        <v>734</v>
      </c>
      <c r="E60" s="6" t="s">
        <v>735</v>
      </c>
      <c r="F60" s="6" t="s">
        <v>727</v>
      </c>
      <c r="G60" s="6" t="s">
        <v>727</v>
      </c>
      <c r="H60" s="7" t="s">
        <v>736</v>
      </c>
    </row>
    <row r="61" spans="1:8" ht="25.5" x14ac:dyDescent="0.25">
      <c r="A61" s="6" t="s">
        <v>10</v>
      </c>
      <c r="B61" s="6" t="s">
        <v>737</v>
      </c>
      <c r="C61" s="14">
        <v>70000</v>
      </c>
      <c r="D61" s="7" t="s">
        <v>738</v>
      </c>
      <c r="E61" s="6" t="s">
        <v>739</v>
      </c>
      <c r="F61" s="6" t="s">
        <v>727</v>
      </c>
      <c r="G61" s="6" t="s">
        <v>727</v>
      </c>
      <c r="H61" s="7" t="s">
        <v>740</v>
      </c>
    </row>
    <row r="62" spans="1:8" ht="25.5" x14ac:dyDescent="0.25">
      <c r="A62" s="6" t="s">
        <v>10</v>
      </c>
      <c r="B62" s="6" t="s">
        <v>741</v>
      </c>
      <c r="C62" s="14">
        <v>7000</v>
      </c>
      <c r="D62" s="7" t="s">
        <v>742</v>
      </c>
      <c r="E62" s="6" t="s">
        <v>743</v>
      </c>
      <c r="F62" s="6" t="s">
        <v>727</v>
      </c>
      <c r="G62" s="6" t="s">
        <v>727</v>
      </c>
      <c r="H62" s="7" t="s">
        <v>744</v>
      </c>
    </row>
    <row r="63" spans="1:8" ht="25.5" x14ac:dyDescent="0.25">
      <c r="A63" s="6" t="s">
        <v>10</v>
      </c>
      <c r="B63" s="6" t="s">
        <v>745</v>
      </c>
      <c r="C63" s="14">
        <v>9600</v>
      </c>
      <c r="D63" s="7" t="s">
        <v>746</v>
      </c>
      <c r="E63" s="6" t="s">
        <v>747</v>
      </c>
      <c r="F63" s="6" t="s">
        <v>727</v>
      </c>
      <c r="G63" s="6" t="s">
        <v>727</v>
      </c>
      <c r="H63" s="7" t="s">
        <v>748</v>
      </c>
    </row>
    <row r="64" spans="1:8" ht="25.5" x14ac:dyDescent="0.25">
      <c r="A64" s="6" t="s">
        <v>10</v>
      </c>
      <c r="B64" s="6" t="s">
        <v>749</v>
      </c>
      <c r="C64" s="14">
        <v>35000</v>
      </c>
      <c r="D64" s="7" t="s">
        <v>750</v>
      </c>
      <c r="E64" s="6" t="s">
        <v>751</v>
      </c>
      <c r="F64" s="6" t="s">
        <v>727</v>
      </c>
      <c r="G64" s="6" t="s">
        <v>727</v>
      </c>
      <c r="H64" s="7" t="s">
        <v>752</v>
      </c>
    </row>
    <row r="65" spans="1:8" ht="25.5" x14ac:dyDescent="0.25">
      <c r="A65" s="6" t="s">
        <v>10</v>
      </c>
      <c r="B65" s="6" t="s">
        <v>753</v>
      </c>
      <c r="C65" s="14">
        <v>44000</v>
      </c>
      <c r="D65" s="7" t="s">
        <v>754</v>
      </c>
      <c r="E65" s="6" t="s">
        <v>755</v>
      </c>
      <c r="F65" s="6" t="s">
        <v>727</v>
      </c>
      <c r="G65" s="6" t="s">
        <v>727</v>
      </c>
      <c r="H65" s="7" t="s">
        <v>756</v>
      </c>
    </row>
    <row r="66" spans="1:8" ht="25.5" x14ac:dyDescent="0.25">
      <c r="A66" s="6" t="s">
        <v>10</v>
      </c>
      <c r="B66" s="6" t="s">
        <v>757</v>
      </c>
      <c r="C66" s="14">
        <v>70000</v>
      </c>
      <c r="D66" s="7" t="s">
        <v>750</v>
      </c>
      <c r="E66" s="6" t="s">
        <v>758</v>
      </c>
      <c r="F66" s="6" t="s">
        <v>727</v>
      </c>
      <c r="G66" s="6" t="s">
        <v>727</v>
      </c>
      <c r="H66" s="7" t="s">
        <v>759</v>
      </c>
    </row>
    <row r="67" spans="1:8" ht="25.5" x14ac:dyDescent="0.25">
      <c r="A67" s="6" t="s">
        <v>10</v>
      </c>
      <c r="B67" s="6" t="s">
        <v>760</v>
      </c>
      <c r="C67" s="14">
        <v>86000</v>
      </c>
      <c r="D67" s="7" t="s">
        <v>754</v>
      </c>
      <c r="E67" s="6" t="s">
        <v>761</v>
      </c>
      <c r="F67" s="6" t="s">
        <v>727</v>
      </c>
      <c r="G67" s="6" t="s">
        <v>727</v>
      </c>
      <c r="H67" s="7" t="s">
        <v>762</v>
      </c>
    </row>
    <row r="68" spans="1:8" x14ac:dyDescent="0.25">
      <c r="A68" s="6" t="s">
        <v>10</v>
      </c>
      <c r="B68" s="6" t="s">
        <v>763</v>
      </c>
      <c r="C68" s="14">
        <v>10000</v>
      </c>
      <c r="D68" s="7" t="s">
        <v>764</v>
      </c>
      <c r="E68" s="6" t="s">
        <v>765</v>
      </c>
      <c r="F68" s="6" t="s">
        <v>727</v>
      </c>
      <c r="G68" s="6" t="s">
        <v>727</v>
      </c>
      <c r="H68" s="7" t="s">
        <v>766</v>
      </c>
    </row>
    <row r="69" spans="1:8" ht="25.5" x14ac:dyDescent="0.25">
      <c r="A69" s="6" t="s">
        <v>10</v>
      </c>
      <c r="B69" s="6" t="s">
        <v>767</v>
      </c>
      <c r="C69" s="14">
        <v>12000</v>
      </c>
      <c r="D69" s="7" t="s">
        <v>768</v>
      </c>
      <c r="E69" s="6" t="s">
        <v>769</v>
      </c>
      <c r="F69" s="6" t="s">
        <v>727</v>
      </c>
      <c r="G69" s="6" t="s">
        <v>727</v>
      </c>
      <c r="H69" s="7" t="s">
        <v>770</v>
      </c>
    </row>
    <row r="70" spans="1:8" x14ac:dyDescent="0.25">
      <c r="A70" s="6" t="s">
        <v>10</v>
      </c>
      <c r="B70" s="6" t="s">
        <v>771</v>
      </c>
      <c r="C70" s="14">
        <v>6000</v>
      </c>
      <c r="D70" s="7" t="s">
        <v>772</v>
      </c>
      <c r="E70" s="6" t="s">
        <v>773</v>
      </c>
      <c r="F70" s="6" t="s">
        <v>727</v>
      </c>
      <c r="G70" s="6" t="s">
        <v>727</v>
      </c>
      <c r="H70" s="7" t="s">
        <v>774</v>
      </c>
    </row>
    <row r="71" spans="1:8" ht="25.5" x14ac:dyDescent="0.25">
      <c r="A71" s="6" t="s">
        <v>10</v>
      </c>
      <c r="B71" s="6" t="s">
        <v>775</v>
      </c>
      <c r="C71" s="14">
        <v>800</v>
      </c>
      <c r="D71" s="7" t="s">
        <v>776</v>
      </c>
      <c r="E71" s="6" t="s">
        <v>777</v>
      </c>
      <c r="F71" s="6" t="s">
        <v>727</v>
      </c>
      <c r="G71" s="6" t="s">
        <v>727</v>
      </c>
      <c r="H71" s="7" t="s">
        <v>778</v>
      </c>
    </row>
    <row r="72" spans="1:8" ht="25.5" x14ac:dyDescent="0.25">
      <c r="A72" s="6" t="s">
        <v>10</v>
      </c>
      <c r="B72" s="6" t="s">
        <v>779</v>
      </c>
      <c r="C72" s="14">
        <v>1600</v>
      </c>
      <c r="D72" s="7" t="s">
        <v>780</v>
      </c>
      <c r="E72" s="6" t="s">
        <v>781</v>
      </c>
      <c r="F72" s="6" t="s">
        <v>727</v>
      </c>
      <c r="G72" s="6" t="s">
        <v>727</v>
      </c>
      <c r="H72" s="7" t="s">
        <v>782</v>
      </c>
    </row>
    <row r="73" spans="1:8" ht="25.5" x14ac:dyDescent="0.25">
      <c r="A73" s="6" t="s">
        <v>10</v>
      </c>
      <c r="B73" s="6" t="s">
        <v>783</v>
      </c>
      <c r="C73" s="14">
        <v>1000</v>
      </c>
      <c r="D73" s="7" t="s">
        <v>784</v>
      </c>
      <c r="E73" s="6" t="s">
        <v>785</v>
      </c>
      <c r="F73" s="6" t="s">
        <v>727</v>
      </c>
      <c r="G73" s="6" t="s">
        <v>727</v>
      </c>
      <c r="H73" s="7" t="s">
        <v>786</v>
      </c>
    </row>
    <row r="74" spans="1:8" ht="25.5" x14ac:dyDescent="0.25">
      <c r="A74" s="6" t="s">
        <v>10</v>
      </c>
      <c r="B74" s="6" t="s">
        <v>787</v>
      </c>
      <c r="C74" s="14">
        <v>2000</v>
      </c>
      <c r="D74" s="7" t="s">
        <v>788</v>
      </c>
      <c r="E74" s="6" t="s">
        <v>789</v>
      </c>
      <c r="F74" s="6" t="s">
        <v>727</v>
      </c>
      <c r="G74" s="6" t="s">
        <v>727</v>
      </c>
      <c r="H74" s="7" t="s">
        <v>790</v>
      </c>
    </row>
    <row r="75" spans="1:8" ht="25.5" x14ac:dyDescent="0.25">
      <c r="A75" s="6" t="s">
        <v>10</v>
      </c>
      <c r="B75" s="6" t="s">
        <v>791</v>
      </c>
      <c r="C75" s="14">
        <v>1000</v>
      </c>
      <c r="D75" s="7" t="s">
        <v>792</v>
      </c>
      <c r="E75" s="6" t="s">
        <v>793</v>
      </c>
      <c r="F75" s="6" t="s">
        <v>727</v>
      </c>
      <c r="G75" s="6" t="s">
        <v>727</v>
      </c>
      <c r="H75" s="7" t="s">
        <v>794</v>
      </c>
    </row>
    <row r="76" spans="1:8" ht="25.5" x14ac:dyDescent="0.25">
      <c r="A76" s="6" t="s">
        <v>10</v>
      </c>
      <c r="B76" s="6" t="s">
        <v>795</v>
      </c>
      <c r="C76" s="14">
        <v>2000</v>
      </c>
      <c r="D76" s="7" t="s">
        <v>796</v>
      </c>
      <c r="E76" s="6" t="s">
        <v>797</v>
      </c>
      <c r="F76" s="6" t="s">
        <v>727</v>
      </c>
      <c r="G76" s="6" t="s">
        <v>727</v>
      </c>
      <c r="H76" s="7" t="s">
        <v>798</v>
      </c>
    </row>
    <row r="77" spans="1:8" ht="25.5" x14ac:dyDescent="0.25">
      <c r="A77" s="6" t="s">
        <v>10</v>
      </c>
      <c r="B77" s="6" t="s">
        <v>799</v>
      </c>
      <c r="C77" s="14">
        <v>900</v>
      </c>
      <c r="D77" s="7" t="s">
        <v>800</v>
      </c>
      <c r="E77" s="6" t="s">
        <v>801</v>
      </c>
      <c r="F77" s="6" t="s">
        <v>727</v>
      </c>
      <c r="G77" s="6" t="s">
        <v>727</v>
      </c>
      <c r="H77" s="7" t="s">
        <v>802</v>
      </c>
    </row>
    <row r="78" spans="1:8" ht="25.5" x14ac:dyDescent="0.25">
      <c r="A78" s="6" t="s">
        <v>10</v>
      </c>
      <c r="B78" s="6" t="s">
        <v>803</v>
      </c>
      <c r="C78" s="14">
        <v>1800</v>
      </c>
      <c r="D78" s="7" t="s">
        <v>804</v>
      </c>
      <c r="E78" s="6" t="s">
        <v>805</v>
      </c>
      <c r="F78" s="6" t="s">
        <v>727</v>
      </c>
      <c r="G78" s="6" t="s">
        <v>727</v>
      </c>
      <c r="H78" s="7" t="s">
        <v>806</v>
      </c>
    </row>
    <row r="79" spans="1:8" x14ac:dyDescent="0.25">
      <c r="A79" s="6" t="s">
        <v>10</v>
      </c>
      <c r="B79" s="6" t="s">
        <v>807</v>
      </c>
      <c r="C79" s="14">
        <v>2400</v>
      </c>
      <c r="D79" s="7" t="s">
        <v>808</v>
      </c>
      <c r="E79" s="6" t="s">
        <v>809</v>
      </c>
      <c r="F79" s="6" t="s">
        <v>727</v>
      </c>
      <c r="G79" s="6" t="s">
        <v>727</v>
      </c>
      <c r="H79" s="7" t="s">
        <v>810</v>
      </c>
    </row>
    <row r="80" spans="1:8" ht="38.25" x14ac:dyDescent="0.25">
      <c r="A80" s="6" t="s">
        <v>10</v>
      </c>
      <c r="B80" s="6" t="s">
        <v>811</v>
      </c>
      <c r="C80" s="14">
        <v>2600</v>
      </c>
      <c r="D80" s="7" t="s">
        <v>812</v>
      </c>
      <c r="E80" s="6" t="s">
        <v>813</v>
      </c>
      <c r="F80" s="6" t="s">
        <v>727</v>
      </c>
      <c r="G80" s="6" t="s">
        <v>727</v>
      </c>
      <c r="H80" s="7" t="s">
        <v>814</v>
      </c>
    </row>
    <row r="81" spans="1:8" ht="25.5" x14ac:dyDescent="0.25">
      <c r="A81" s="6" t="s">
        <v>103</v>
      </c>
      <c r="B81" s="6" t="s">
        <v>815</v>
      </c>
      <c r="C81" s="14">
        <v>12000</v>
      </c>
      <c r="D81" s="7" t="s">
        <v>816</v>
      </c>
      <c r="E81" s="6" t="s">
        <v>817</v>
      </c>
      <c r="F81" s="6" t="s">
        <v>727</v>
      </c>
      <c r="G81" s="6" t="s">
        <v>727</v>
      </c>
      <c r="H81" s="7" t="s">
        <v>818</v>
      </c>
    </row>
    <row r="82" spans="1:8" ht="25.5" x14ac:dyDescent="0.25">
      <c r="A82" s="6" t="s">
        <v>103</v>
      </c>
      <c r="B82" s="6" t="s">
        <v>819</v>
      </c>
      <c r="C82" s="14">
        <v>20000</v>
      </c>
      <c r="D82" s="7" t="s">
        <v>820</v>
      </c>
      <c r="E82" s="6" t="s">
        <v>821</v>
      </c>
      <c r="F82" s="6" t="s">
        <v>727</v>
      </c>
      <c r="G82" s="6" t="s">
        <v>727</v>
      </c>
      <c r="H82" s="7" t="s">
        <v>822</v>
      </c>
    </row>
    <row r="83" spans="1:8" ht="25.5" x14ac:dyDescent="0.25">
      <c r="A83" s="6" t="s">
        <v>103</v>
      </c>
      <c r="B83" s="6" t="s">
        <v>823</v>
      </c>
      <c r="C83" s="14">
        <v>34000</v>
      </c>
      <c r="D83" s="7" t="s">
        <v>820</v>
      </c>
      <c r="E83" s="6" t="s">
        <v>824</v>
      </c>
      <c r="F83" s="6" t="s">
        <v>727</v>
      </c>
      <c r="G83" s="6" t="s">
        <v>727</v>
      </c>
      <c r="H83" s="7" t="s">
        <v>825</v>
      </c>
    </row>
    <row r="84" spans="1:8" ht="25.5" x14ac:dyDescent="0.25">
      <c r="A84" s="6" t="s">
        <v>103</v>
      </c>
      <c r="B84" s="6" t="s">
        <v>826</v>
      </c>
      <c r="C84" s="14">
        <v>49000</v>
      </c>
      <c r="D84" s="7" t="s">
        <v>827</v>
      </c>
      <c r="E84" s="6" t="s">
        <v>828</v>
      </c>
      <c r="F84" s="6" t="s">
        <v>727</v>
      </c>
      <c r="G84" s="6" t="s">
        <v>727</v>
      </c>
      <c r="H84" s="7" t="s">
        <v>829</v>
      </c>
    </row>
    <row r="85" spans="1:8" ht="25.5" x14ac:dyDescent="0.25">
      <c r="A85" s="6" t="s">
        <v>103</v>
      </c>
      <c r="B85" s="6" t="s">
        <v>830</v>
      </c>
      <c r="C85" s="14">
        <v>19000</v>
      </c>
      <c r="D85" s="7" t="s">
        <v>831</v>
      </c>
      <c r="E85" s="6" t="s">
        <v>832</v>
      </c>
      <c r="F85" s="6" t="s">
        <v>727</v>
      </c>
      <c r="G85" s="6" t="s">
        <v>727</v>
      </c>
      <c r="H85" s="7" t="s">
        <v>833</v>
      </c>
    </row>
    <row r="86" spans="1:8" ht="25.5" x14ac:dyDescent="0.25">
      <c r="A86" s="6" t="s">
        <v>103</v>
      </c>
      <c r="B86" s="6" t="s">
        <v>834</v>
      </c>
      <c r="C86" s="14">
        <v>27000</v>
      </c>
      <c r="D86" s="7" t="s">
        <v>831</v>
      </c>
      <c r="E86" s="6" t="s">
        <v>835</v>
      </c>
      <c r="F86" s="6" t="s">
        <v>727</v>
      </c>
      <c r="G86" s="6" t="s">
        <v>727</v>
      </c>
      <c r="H86" s="7" t="s">
        <v>836</v>
      </c>
    </row>
    <row r="87" spans="1:8" ht="25.5" x14ac:dyDescent="0.25">
      <c r="A87" s="6" t="s">
        <v>103</v>
      </c>
      <c r="B87" s="6" t="s">
        <v>837</v>
      </c>
      <c r="C87" s="14">
        <v>40000</v>
      </c>
      <c r="D87" s="7" t="s">
        <v>831</v>
      </c>
      <c r="E87" s="6" t="s">
        <v>838</v>
      </c>
      <c r="F87" s="6" t="s">
        <v>727</v>
      </c>
      <c r="G87" s="6" t="s">
        <v>727</v>
      </c>
      <c r="H87" s="7" t="s">
        <v>839</v>
      </c>
    </row>
    <row r="88" spans="1:8" ht="25.5" x14ac:dyDescent="0.25">
      <c r="A88" s="6" t="s">
        <v>103</v>
      </c>
      <c r="B88" s="6" t="s">
        <v>840</v>
      </c>
      <c r="C88" s="14">
        <v>59000</v>
      </c>
      <c r="D88" s="7" t="s">
        <v>841</v>
      </c>
      <c r="E88" s="6" t="s">
        <v>842</v>
      </c>
      <c r="F88" s="6" t="s">
        <v>727</v>
      </c>
      <c r="G88" s="6" t="s">
        <v>727</v>
      </c>
      <c r="H88" s="7" t="s">
        <v>843</v>
      </c>
    </row>
    <row r="89" spans="1:8" ht="25.5" x14ac:dyDescent="0.25">
      <c r="A89" s="6" t="s">
        <v>103</v>
      </c>
      <c r="B89" s="6" t="s">
        <v>844</v>
      </c>
      <c r="C89" s="14">
        <v>66000</v>
      </c>
      <c r="D89" s="7" t="s">
        <v>845</v>
      </c>
      <c r="E89" s="6" t="s">
        <v>846</v>
      </c>
      <c r="F89" s="6" t="s">
        <v>727</v>
      </c>
      <c r="G89" s="6" t="s">
        <v>727</v>
      </c>
      <c r="H89" s="7" t="s">
        <v>847</v>
      </c>
    </row>
    <row r="90" spans="1:8" ht="25.5" x14ac:dyDescent="0.25">
      <c r="A90" s="6" t="s">
        <v>103</v>
      </c>
      <c r="B90" s="6" t="s">
        <v>848</v>
      </c>
      <c r="C90" s="14">
        <v>120000</v>
      </c>
      <c r="D90" s="7" t="s">
        <v>849</v>
      </c>
      <c r="E90" s="6" t="s">
        <v>850</v>
      </c>
      <c r="F90" s="6" t="s">
        <v>727</v>
      </c>
      <c r="G90" s="6" t="s">
        <v>727</v>
      </c>
      <c r="H90" s="7" t="s">
        <v>851</v>
      </c>
    </row>
    <row r="91" spans="1:8" ht="38.25" x14ac:dyDescent="0.25">
      <c r="A91" s="6" t="s">
        <v>103</v>
      </c>
      <c r="B91" s="6" t="s">
        <v>852</v>
      </c>
      <c r="C91" s="14">
        <v>12000</v>
      </c>
      <c r="D91" s="7" t="s">
        <v>853</v>
      </c>
      <c r="E91" s="6" t="s">
        <v>854</v>
      </c>
      <c r="F91" s="6" t="s">
        <v>727</v>
      </c>
      <c r="G91" s="6" t="s">
        <v>727</v>
      </c>
      <c r="H91" s="7" t="s">
        <v>855</v>
      </c>
    </row>
    <row r="92" spans="1:8" ht="38.25" x14ac:dyDescent="0.25">
      <c r="A92" s="6" t="s">
        <v>103</v>
      </c>
      <c r="B92" s="6" t="s">
        <v>856</v>
      </c>
      <c r="C92" s="14">
        <v>20000</v>
      </c>
      <c r="D92" s="7" t="s">
        <v>857</v>
      </c>
      <c r="E92" s="6" t="s">
        <v>858</v>
      </c>
      <c r="F92" s="6" t="s">
        <v>727</v>
      </c>
      <c r="G92" s="6" t="s">
        <v>727</v>
      </c>
      <c r="H92" s="7" t="s">
        <v>859</v>
      </c>
    </row>
    <row r="93" spans="1:8" ht="25.5" x14ac:dyDescent="0.25">
      <c r="A93" s="6" t="s">
        <v>103</v>
      </c>
      <c r="B93" s="6" t="s">
        <v>860</v>
      </c>
      <c r="C93" s="14">
        <v>4500</v>
      </c>
      <c r="D93" s="7" t="s">
        <v>861</v>
      </c>
      <c r="E93" s="6" t="s">
        <v>862</v>
      </c>
      <c r="F93" s="6" t="s">
        <v>727</v>
      </c>
      <c r="G93" s="6" t="s">
        <v>727</v>
      </c>
      <c r="H93" s="7" t="s">
        <v>863</v>
      </c>
    </row>
    <row r="94" spans="1:8" ht="25.5" x14ac:dyDescent="0.25">
      <c r="A94" s="6" t="s">
        <v>103</v>
      </c>
      <c r="B94" s="6" t="s">
        <v>864</v>
      </c>
      <c r="C94" s="14">
        <v>39000</v>
      </c>
      <c r="D94" s="7" t="s">
        <v>865</v>
      </c>
      <c r="E94" s="6" t="s">
        <v>866</v>
      </c>
      <c r="F94" s="6" t="s">
        <v>727</v>
      </c>
      <c r="G94" s="6" t="s">
        <v>727</v>
      </c>
      <c r="H94" s="7" t="s">
        <v>867</v>
      </c>
    </row>
    <row r="95" spans="1:8" ht="25.5" x14ac:dyDescent="0.25">
      <c r="A95" s="6" t="s">
        <v>103</v>
      </c>
      <c r="B95" s="6" t="s">
        <v>868</v>
      </c>
      <c r="C95" s="14">
        <v>70000</v>
      </c>
      <c r="D95" s="7" t="s">
        <v>869</v>
      </c>
      <c r="E95" s="6" t="s">
        <v>870</v>
      </c>
      <c r="F95" s="6" t="s">
        <v>727</v>
      </c>
      <c r="G95" s="6" t="s">
        <v>727</v>
      </c>
      <c r="H95" s="7" t="s">
        <v>871</v>
      </c>
    </row>
    <row r="96" spans="1:8" ht="25.5" x14ac:dyDescent="0.25">
      <c r="A96" s="6" t="s">
        <v>103</v>
      </c>
      <c r="B96" s="6" t="s">
        <v>872</v>
      </c>
      <c r="C96" s="14">
        <v>37000</v>
      </c>
      <c r="D96" s="7" t="s">
        <v>873</v>
      </c>
      <c r="E96" s="6" t="s">
        <v>874</v>
      </c>
      <c r="F96" s="6" t="s">
        <v>727</v>
      </c>
      <c r="G96" s="6" t="s">
        <v>727</v>
      </c>
      <c r="H96" s="7" t="s">
        <v>875</v>
      </c>
    </row>
    <row r="97" spans="1:8" ht="25.5" x14ac:dyDescent="0.25">
      <c r="A97" s="6" t="s">
        <v>103</v>
      </c>
      <c r="B97" s="6" t="s">
        <v>876</v>
      </c>
      <c r="C97" s="14">
        <v>45000</v>
      </c>
      <c r="D97" s="7" t="s">
        <v>877</v>
      </c>
      <c r="E97" s="6" t="s">
        <v>878</v>
      </c>
      <c r="F97" s="6" t="s">
        <v>727</v>
      </c>
      <c r="G97" s="6" t="s">
        <v>727</v>
      </c>
      <c r="H97" s="7" t="s">
        <v>879</v>
      </c>
    </row>
    <row r="98" spans="1:8" ht="25.5" x14ac:dyDescent="0.25">
      <c r="A98" s="6" t="s">
        <v>103</v>
      </c>
      <c r="B98" s="6" t="s">
        <v>880</v>
      </c>
      <c r="C98" s="14">
        <v>40000</v>
      </c>
      <c r="D98" s="7" t="s">
        <v>873</v>
      </c>
      <c r="E98" s="6" t="s">
        <v>881</v>
      </c>
      <c r="F98" s="6" t="s">
        <v>727</v>
      </c>
      <c r="G98" s="6" t="s">
        <v>727</v>
      </c>
      <c r="H98" s="7" t="s">
        <v>882</v>
      </c>
    </row>
    <row r="99" spans="1:8" ht="25.5" x14ac:dyDescent="0.25">
      <c r="A99" s="6" t="s">
        <v>103</v>
      </c>
      <c r="B99" s="6" t="s">
        <v>883</v>
      </c>
      <c r="C99" s="14">
        <v>54000</v>
      </c>
      <c r="D99" s="7" t="s">
        <v>884</v>
      </c>
      <c r="E99" s="6" t="s">
        <v>885</v>
      </c>
      <c r="F99" s="6" t="s">
        <v>727</v>
      </c>
      <c r="G99" s="6" t="s">
        <v>727</v>
      </c>
      <c r="H99" s="7" t="s">
        <v>886</v>
      </c>
    </row>
    <row r="100" spans="1:8" ht="25.5" x14ac:dyDescent="0.25">
      <c r="A100" s="6" t="s">
        <v>103</v>
      </c>
      <c r="B100" s="6" t="s">
        <v>887</v>
      </c>
      <c r="C100" s="14">
        <v>7200</v>
      </c>
      <c r="D100" s="7" t="s">
        <v>888</v>
      </c>
      <c r="E100" s="6" t="s">
        <v>889</v>
      </c>
      <c r="F100" s="6" t="s">
        <v>727</v>
      </c>
      <c r="G100" s="6" t="s">
        <v>727</v>
      </c>
      <c r="H100" s="7" t="s">
        <v>890</v>
      </c>
    </row>
    <row r="101" spans="1:8" ht="25.5" x14ac:dyDescent="0.25">
      <c r="A101" s="6" t="s">
        <v>103</v>
      </c>
      <c r="B101" s="6" t="s">
        <v>891</v>
      </c>
      <c r="C101" s="14">
        <v>9600</v>
      </c>
      <c r="D101" s="7" t="s">
        <v>892</v>
      </c>
      <c r="E101" s="6" t="s">
        <v>893</v>
      </c>
      <c r="F101" s="6" t="s">
        <v>727</v>
      </c>
      <c r="G101" s="6" t="s">
        <v>727</v>
      </c>
      <c r="H101" s="7" t="s">
        <v>894</v>
      </c>
    </row>
    <row r="102" spans="1:8" ht="25.5" x14ac:dyDescent="0.25">
      <c r="A102" s="6" t="s">
        <v>103</v>
      </c>
      <c r="B102" s="6" t="s">
        <v>895</v>
      </c>
      <c r="C102" s="14">
        <v>12000</v>
      </c>
      <c r="D102" s="7" t="s">
        <v>892</v>
      </c>
      <c r="E102" s="6" t="s">
        <v>896</v>
      </c>
      <c r="F102" s="6" t="s">
        <v>727</v>
      </c>
      <c r="G102" s="6" t="s">
        <v>727</v>
      </c>
      <c r="H102" s="7" t="s">
        <v>897</v>
      </c>
    </row>
    <row r="103" spans="1:8" ht="25.5" x14ac:dyDescent="0.25">
      <c r="A103" s="6" t="s">
        <v>103</v>
      </c>
      <c r="B103" s="6" t="s">
        <v>898</v>
      </c>
      <c r="C103" s="14">
        <v>18000</v>
      </c>
      <c r="D103" s="7" t="s">
        <v>899</v>
      </c>
      <c r="E103" s="6" t="s">
        <v>900</v>
      </c>
      <c r="F103" s="6" t="s">
        <v>727</v>
      </c>
      <c r="G103" s="6" t="s">
        <v>727</v>
      </c>
      <c r="H103" s="7" t="s">
        <v>901</v>
      </c>
    </row>
    <row r="104" spans="1:8" ht="25.5" x14ac:dyDescent="0.25">
      <c r="A104" s="6" t="s">
        <v>103</v>
      </c>
      <c r="B104" s="6" t="s">
        <v>902</v>
      </c>
      <c r="C104" s="14">
        <v>10800</v>
      </c>
      <c r="D104" s="7" t="s">
        <v>903</v>
      </c>
      <c r="E104" s="6" t="s">
        <v>904</v>
      </c>
      <c r="F104" s="6" t="s">
        <v>727</v>
      </c>
      <c r="G104" s="6" t="s">
        <v>727</v>
      </c>
      <c r="H104" s="7" t="s">
        <v>905</v>
      </c>
    </row>
    <row r="105" spans="1:8" ht="25.5" x14ac:dyDescent="0.25">
      <c r="A105" s="6" t="s">
        <v>103</v>
      </c>
      <c r="B105" s="6" t="s">
        <v>906</v>
      </c>
      <c r="C105" s="14">
        <v>20400</v>
      </c>
      <c r="D105" s="7" t="s">
        <v>903</v>
      </c>
      <c r="E105" s="6" t="s">
        <v>907</v>
      </c>
      <c r="F105" s="6" t="s">
        <v>727</v>
      </c>
      <c r="G105" s="6" t="s">
        <v>727</v>
      </c>
      <c r="H105" s="7" t="s">
        <v>908</v>
      </c>
    </row>
    <row r="106" spans="1:8" ht="25.5" x14ac:dyDescent="0.25">
      <c r="A106" s="6" t="s">
        <v>103</v>
      </c>
      <c r="B106" s="6" t="s">
        <v>909</v>
      </c>
      <c r="C106" s="14">
        <v>31200</v>
      </c>
      <c r="D106" s="7" t="s">
        <v>903</v>
      </c>
      <c r="E106" s="6" t="s">
        <v>910</v>
      </c>
      <c r="F106" s="6" t="s">
        <v>727</v>
      </c>
      <c r="G106" s="6" t="s">
        <v>727</v>
      </c>
      <c r="H106" s="7" t="s">
        <v>911</v>
      </c>
    </row>
    <row r="107" spans="1:8" x14ac:dyDescent="0.25">
      <c r="A107" s="6" t="s">
        <v>11</v>
      </c>
      <c r="B107" s="6" t="s">
        <v>912</v>
      </c>
      <c r="C107" s="14">
        <v>2400</v>
      </c>
      <c r="D107" s="7" t="s">
        <v>913</v>
      </c>
      <c r="E107" s="6" t="s">
        <v>914</v>
      </c>
      <c r="F107" s="6" t="s">
        <v>727</v>
      </c>
      <c r="G107" s="6" t="s">
        <v>727</v>
      </c>
      <c r="H107" s="7" t="s">
        <v>915</v>
      </c>
    </row>
    <row r="108" spans="1:8" x14ac:dyDescent="0.25">
      <c r="A108" s="6" t="s">
        <v>11</v>
      </c>
      <c r="B108" s="6" t="s">
        <v>916</v>
      </c>
      <c r="C108" s="14">
        <v>3200</v>
      </c>
      <c r="D108" s="7" t="s">
        <v>917</v>
      </c>
      <c r="E108" s="6" t="s">
        <v>918</v>
      </c>
      <c r="F108" s="6" t="s">
        <v>727</v>
      </c>
      <c r="G108" s="6" t="s">
        <v>727</v>
      </c>
      <c r="H108" s="7" t="s">
        <v>919</v>
      </c>
    </row>
    <row r="109" spans="1:8" x14ac:dyDescent="0.25">
      <c r="A109" s="6" t="s">
        <v>11</v>
      </c>
      <c r="B109" s="6" t="s">
        <v>920</v>
      </c>
      <c r="C109" s="14">
        <v>3200</v>
      </c>
      <c r="D109" s="7" t="s">
        <v>921</v>
      </c>
      <c r="E109" s="6" t="s">
        <v>922</v>
      </c>
      <c r="F109" s="6" t="s">
        <v>727</v>
      </c>
      <c r="G109" s="6" t="s">
        <v>727</v>
      </c>
      <c r="H109" s="7" t="s">
        <v>923</v>
      </c>
    </row>
    <row r="110" spans="1:8" x14ac:dyDescent="0.25">
      <c r="A110" s="6" t="s">
        <v>11</v>
      </c>
      <c r="B110" s="6" t="s">
        <v>924</v>
      </c>
      <c r="C110" s="14">
        <v>3400</v>
      </c>
      <c r="D110" s="7" t="s">
        <v>925</v>
      </c>
      <c r="E110" s="6" t="s">
        <v>926</v>
      </c>
      <c r="F110" s="6" t="s">
        <v>727</v>
      </c>
      <c r="G110" s="6" t="s">
        <v>727</v>
      </c>
      <c r="H110" s="7" t="s">
        <v>927</v>
      </c>
    </row>
    <row r="111" spans="1:8" x14ac:dyDescent="0.25">
      <c r="A111" s="6" t="s">
        <v>11</v>
      </c>
      <c r="B111" s="6" t="s">
        <v>928</v>
      </c>
      <c r="C111" s="14">
        <v>4200</v>
      </c>
      <c r="D111" s="7" t="s">
        <v>929</v>
      </c>
      <c r="E111" s="6" t="s">
        <v>930</v>
      </c>
      <c r="F111" s="6" t="s">
        <v>727</v>
      </c>
      <c r="G111" s="6" t="s">
        <v>727</v>
      </c>
      <c r="H111" s="7" t="s">
        <v>931</v>
      </c>
    </row>
    <row r="112" spans="1:8" x14ac:dyDescent="0.25">
      <c r="A112" s="6" t="s">
        <v>11</v>
      </c>
      <c r="B112" s="6" t="s">
        <v>932</v>
      </c>
      <c r="C112" s="14">
        <v>4600</v>
      </c>
      <c r="D112" s="7" t="s">
        <v>933</v>
      </c>
      <c r="E112" s="6" t="s">
        <v>934</v>
      </c>
      <c r="F112" s="6" t="s">
        <v>727</v>
      </c>
      <c r="G112" s="6" t="s">
        <v>727</v>
      </c>
      <c r="H112" s="7" t="s">
        <v>935</v>
      </c>
    </row>
    <row r="113" spans="1:8" x14ac:dyDescent="0.25">
      <c r="A113" s="6" t="s">
        <v>11</v>
      </c>
      <c r="B113" s="6" t="s">
        <v>936</v>
      </c>
      <c r="C113" s="14">
        <v>7000</v>
      </c>
      <c r="D113" s="7" t="s">
        <v>937</v>
      </c>
      <c r="E113" s="6" t="s">
        <v>938</v>
      </c>
      <c r="F113" s="6" t="s">
        <v>727</v>
      </c>
      <c r="G113" s="6" t="s">
        <v>727</v>
      </c>
      <c r="H113" s="7" t="s">
        <v>939</v>
      </c>
    </row>
    <row r="114" spans="1:8" ht="25.5" x14ac:dyDescent="0.25">
      <c r="A114" s="6" t="s">
        <v>11</v>
      </c>
      <c r="B114" s="6" t="s">
        <v>940</v>
      </c>
      <c r="C114" s="14">
        <v>5000</v>
      </c>
      <c r="D114" s="7" t="s">
        <v>941</v>
      </c>
      <c r="E114" s="6" t="s">
        <v>942</v>
      </c>
      <c r="F114" s="6" t="s">
        <v>727</v>
      </c>
      <c r="G114" s="6" t="s">
        <v>727</v>
      </c>
      <c r="H114" s="7" t="s">
        <v>943</v>
      </c>
    </row>
    <row r="115" spans="1:8" x14ac:dyDescent="0.25">
      <c r="A115" s="6" t="s">
        <v>11</v>
      </c>
      <c r="B115" s="6" t="s">
        <v>944</v>
      </c>
      <c r="C115" s="14">
        <v>1500</v>
      </c>
      <c r="D115" s="7" t="s">
        <v>945</v>
      </c>
      <c r="E115" s="6" t="s">
        <v>946</v>
      </c>
      <c r="F115" s="6" t="s">
        <v>727</v>
      </c>
      <c r="G115" s="6" t="s">
        <v>727</v>
      </c>
      <c r="H115" s="7" t="s">
        <v>947</v>
      </c>
    </row>
    <row r="116" spans="1:8" x14ac:dyDescent="0.25">
      <c r="A116" s="6" t="s">
        <v>11</v>
      </c>
      <c r="B116" s="6" t="s">
        <v>948</v>
      </c>
      <c r="C116" s="14">
        <v>800</v>
      </c>
      <c r="D116" s="7" t="s">
        <v>949</v>
      </c>
      <c r="E116" s="6" t="s">
        <v>950</v>
      </c>
      <c r="F116" s="6" t="s">
        <v>727</v>
      </c>
      <c r="G116" s="6" t="s">
        <v>727</v>
      </c>
      <c r="H116" s="7" t="s">
        <v>951</v>
      </c>
    </row>
    <row r="117" spans="1:8" x14ac:dyDescent="0.25">
      <c r="A117" s="6" t="s">
        <v>11</v>
      </c>
      <c r="B117" s="6" t="s">
        <v>952</v>
      </c>
      <c r="C117" s="14">
        <v>2200</v>
      </c>
      <c r="D117" s="7" t="s">
        <v>953</v>
      </c>
      <c r="E117" s="6" t="s">
        <v>954</v>
      </c>
      <c r="F117" s="6" t="s">
        <v>727</v>
      </c>
      <c r="G117" s="6" t="s">
        <v>727</v>
      </c>
      <c r="H117" s="7" t="s">
        <v>955</v>
      </c>
    </row>
    <row r="118" spans="1:8" x14ac:dyDescent="0.25">
      <c r="A118" s="6" t="s">
        <v>11</v>
      </c>
      <c r="B118" s="6" t="s">
        <v>956</v>
      </c>
      <c r="C118" s="14">
        <v>2400</v>
      </c>
      <c r="D118" s="7" t="s">
        <v>957</v>
      </c>
      <c r="E118" s="6" t="s">
        <v>958</v>
      </c>
      <c r="F118" s="6" t="s">
        <v>727</v>
      </c>
      <c r="G118" s="6" t="s">
        <v>727</v>
      </c>
      <c r="H118" s="7" t="s">
        <v>959</v>
      </c>
    </row>
    <row r="119" spans="1:8" x14ac:dyDescent="0.25">
      <c r="A119" s="6" t="s">
        <v>11</v>
      </c>
      <c r="B119" s="6" t="s">
        <v>960</v>
      </c>
      <c r="C119" s="14">
        <v>3000</v>
      </c>
      <c r="D119" s="7" t="s">
        <v>961</v>
      </c>
      <c r="E119" s="6" t="s">
        <v>962</v>
      </c>
      <c r="F119" s="6" t="s">
        <v>727</v>
      </c>
      <c r="G119" s="6" t="s">
        <v>727</v>
      </c>
      <c r="H119" s="7" t="s">
        <v>963</v>
      </c>
    </row>
    <row r="120" spans="1:8" ht="25.5" x14ac:dyDescent="0.25">
      <c r="A120" s="6" t="s">
        <v>11</v>
      </c>
      <c r="B120" s="6" t="s">
        <v>964</v>
      </c>
      <c r="C120" s="14">
        <v>330</v>
      </c>
      <c r="D120" s="7" t="s">
        <v>965</v>
      </c>
      <c r="E120" s="6" t="s">
        <v>966</v>
      </c>
      <c r="F120" s="6" t="s">
        <v>727</v>
      </c>
      <c r="G120" s="6" t="s">
        <v>727</v>
      </c>
      <c r="H120" s="7" t="s">
        <v>967</v>
      </c>
    </row>
    <row r="121" spans="1:8" x14ac:dyDescent="0.25">
      <c r="A121" s="6" t="s">
        <v>11</v>
      </c>
      <c r="B121" s="6" t="s">
        <v>968</v>
      </c>
      <c r="C121" s="14">
        <v>600</v>
      </c>
      <c r="D121" s="7" t="s">
        <v>969</v>
      </c>
      <c r="E121" s="6" t="s">
        <v>970</v>
      </c>
      <c r="F121" s="6" t="s">
        <v>727</v>
      </c>
      <c r="G121" s="6" t="s">
        <v>727</v>
      </c>
      <c r="H121" s="7" t="s">
        <v>971</v>
      </c>
    </row>
    <row r="122" spans="1:8" ht="25.5" x14ac:dyDescent="0.25">
      <c r="A122" s="6" t="s">
        <v>11</v>
      </c>
      <c r="B122" s="6" t="s">
        <v>972</v>
      </c>
      <c r="C122" s="14">
        <v>600</v>
      </c>
      <c r="D122" s="7" t="s">
        <v>973</v>
      </c>
      <c r="E122" s="6" t="s">
        <v>974</v>
      </c>
      <c r="F122" s="6" t="s">
        <v>727</v>
      </c>
      <c r="G122" s="6" t="s">
        <v>727</v>
      </c>
      <c r="H122" s="7" t="s">
        <v>975</v>
      </c>
    </row>
    <row r="123" spans="1:8" x14ac:dyDescent="0.25">
      <c r="A123" s="6" t="s">
        <v>11</v>
      </c>
      <c r="B123" s="6" t="s">
        <v>976</v>
      </c>
      <c r="C123" s="14">
        <v>750</v>
      </c>
      <c r="D123" s="7" t="s">
        <v>977</v>
      </c>
      <c r="E123" s="6" t="s">
        <v>978</v>
      </c>
      <c r="F123" s="6" t="s">
        <v>727</v>
      </c>
      <c r="G123" s="6" t="s">
        <v>727</v>
      </c>
      <c r="H123" s="7" t="s">
        <v>979</v>
      </c>
    </row>
    <row r="124" spans="1:8" ht="25.5" x14ac:dyDescent="0.25">
      <c r="A124" s="6" t="s">
        <v>11</v>
      </c>
      <c r="B124" s="6" t="s">
        <v>980</v>
      </c>
      <c r="C124" s="14">
        <v>3500</v>
      </c>
      <c r="D124" s="7" t="s">
        <v>981</v>
      </c>
      <c r="E124" s="6" t="s">
        <v>982</v>
      </c>
      <c r="F124" s="6" t="s">
        <v>727</v>
      </c>
      <c r="G124" s="6" t="s">
        <v>727</v>
      </c>
      <c r="H124" s="7" t="s">
        <v>983</v>
      </c>
    </row>
    <row r="125" spans="1:8" ht="25.5" x14ac:dyDescent="0.25">
      <c r="A125" s="6" t="s">
        <v>11</v>
      </c>
      <c r="B125" s="6" t="s">
        <v>984</v>
      </c>
      <c r="C125" s="14">
        <v>4500</v>
      </c>
      <c r="D125" s="7" t="s">
        <v>985</v>
      </c>
      <c r="E125" s="6" t="s">
        <v>986</v>
      </c>
      <c r="F125" s="6" t="s">
        <v>727</v>
      </c>
      <c r="G125" s="6" t="s">
        <v>727</v>
      </c>
      <c r="H125" s="7" t="s">
        <v>987</v>
      </c>
    </row>
    <row r="126" spans="1:8" ht="25.5" x14ac:dyDescent="0.25">
      <c r="A126" s="6" t="s">
        <v>11</v>
      </c>
      <c r="B126" s="6" t="s">
        <v>988</v>
      </c>
      <c r="C126" s="14">
        <v>6500</v>
      </c>
      <c r="D126" s="7" t="s">
        <v>989</v>
      </c>
      <c r="E126" s="6" t="s">
        <v>990</v>
      </c>
      <c r="F126" s="6" t="s">
        <v>727</v>
      </c>
      <c r="G126" s="6" t="s">
        <v>727</v>
      </c>
      <c r="H126" s="7" t="s">
        <v>991</v>
      </c>
    </row>
    <row r="127" spans="1:8" ht="25.5" x14ac:dyDescent="0.25">
      <c r="A127" s="6" t="s">
        <v>126</v>
      </c>
      <c r="B127" s="6" t="s">
        <v>992</v>
      </c>
      <c r="C127" s="14">
        <v>3500</v>
      </c>
      <c r="D127" s="7" t="s">
        <v>993</v>
      </c>
      <c r="E127" s="6" t="s">
        <v>994</v>
      </c>
      <c r="F127" s="6" t="s">
        <v>727</v>
      </c>
      <c r="G127" s="6" t="s">
        <v>727</v>
      </c>
      <c r="H127" s="7" t="s">
        <v>995</v>
      </c>
    </row>
    <row r="128" spans="1:8" ht="25.5" x14ac:dyDescent="0.25">
      <c r="A128" s="6" t="s">
        <v>126</v>
      </c>
      <c r="B128" s="6" t="s">
        <v>996</v>
      </c>
      <c r="C128" s="14">
        <v>7000</v>
      </c>
      <c r="D128" s="7" t="s">
        <v>997</v>
      </c>
      <c r="E128" s="6" t="s">
        <v>998</v>
      </c>
      <c r="F128" s="6" t="s">
        <v>727</v>
      </c>
      <c r="G128" s="6" t="s">
        <v>727</v>
      </c>
      <c r="H128" s="7" t="s">
        <v>999</v>
      </c>
    </row>
    <row r="129" spans="1:8" ht="25.5" x14ac:dyDescent="0.25">
      <c r="A129" s="6" t="s">
        <v>126</v>
      </c>
      <c r="B129" s="6" t="s">
        <v>1000</v>
      </c>
      <c r="C129" s="14">
        <v>6500</v>
      </c>
      <c r="D129" s="7" t="s">
        <v>1001</v>
      </c>
      <c r="E129" s="6" t="s">
        <v>1002</v>
      </c>
      <c r="F129" s="6" t="s">
        <v>727</v>
      </c>
      <c r="G129" s="6" t="s">
        <v>727</v>
      </c>
      <c r="H129" s="7" t="s">
        <v>1003</v>
      </c>
    </row>
    <row r="130" spans="1:8" ht="25.5" x14ac:dyDescent="0.25">
      <c r="A130" s="6" t="s">
        <v>126</v>
      </c>
      <c r="B130" s="6" t="s">
        <v>1004</v>
      </c>
      <c r="C130" s="14">
        <v>13000</v>
      </c>
      <c r="D130" s="7" t="s">
        <v>1005</v>
      </c>
      <c r="E130" s="6" t="s">
        <v>1006</v>
      </c>
      <c r="F130" s="6" t="s">
        <v>727</v>
      </c>
      <c r="G130" s="6" t="s">
        <v>727</v>
      </c>
      <c r="H130" s="7" t="s">
        <v>1007</v>
      </c>
    </row>
    <row r="131" spans="1:8" ht="25.5" x14ac:dyDescent="0.25">
      <c r="A131" s="6" t="s">
        <v>126</v>
      </c>
      <c r="B131" s="6" t="s">
        <v>1008</v>
      </c>
      <c r="C131" s="14">
        <v>6500</v>
      </c>
      <c r="D131" s="7" t="s">
        <v>1009</v>
      </c>
      <c r="E131" s="6" t="s">
        <v>1010</v>
      </c>
      <c r="F131" s="6" t="s">
        <v>727</v>
      </c>
      <c r="G131" s="6" t="s">
        <v>727</v>
      </c>
      <c r="H131" s="7" t="s">
        <v>1011</v>
      </c>
    </row>
    <row r="132" spans="1:8" ht="25.5" x14ac:dyDescent="0.25">
      <c r="A132" s="6" t="s">
        <v>126</v>
      </c>
      <c r="B132" s="6" t="s">
        <v>1012</v>
      </c>
      <c r="C132" s="14">
        <v>8000</v>
      </c>
      <c r="D132" s="7" t="s">
        <v>1013</v>
      </c>
      <c r="E132" s="6" t="s">
        <v>1014</v>
      </c>
      <c r="F132" s="6" t="s">
        <v>727</v>
      </c>
      <c r="G132" s="6" t="s">
        <v>727</v>
      </c>
      <c r="H132" s="7" t="s">
        <v>1015</v>
      </c>
    </row>
    <row r="133" spans="1:8" ht="25.5" x14ac:dyDescent="0.25">
      <c r="A133" s="6" t="s">
        <v>126</v>
      </c>
      <c r="B133" s="6" t="s">
        <v>1016</v>
      </c>
      <c r="C133" s="14">
        <v>200</v>
      </c>
      <c r="D133" s="7" t="s">
        <v>1017</v>
      </c>
      <c r="E133" s="6" t="s">
        <v>1018</v>
      </c>
      <c r="F133" s="6" t="s">
        <v>727</v>
      </c>
      <c r="G133" s="6" t="s">
        <v>727</v>
      </c>
      <c r="H133" s="7" t="s">
        <v>1019</v>
      </c>
    </row>
    <row r="134" spans="1:8" x14ac:dyDescent="0.25">
      <c r="A134" s="6" t="s">
        <v>126</v>
      </c>
      <c r="B134" s="6" t="s">
        <v>1020</v>
      </c>
      <c r="C134" s="14">
        <v>1000</v>
      </c>
      <c r="D134" s="7" t="s">
        <v>1021</v>
      </c>
      <c r="E134" s="6" t="s">
        <v>1022</v>
      </c>
      <c r="F134" s="6" t="s">
        <v>727</v>
      </c>
      <c r="G134" s="6" t="s">
        <v>727</v>
      </c>
      <c r="H134" s="7" t="s">
        <v>1023</v>
      </c>
    </row>
    <row r="135" spans="1:8" ht="25.5" x14ac:dyDescent="0.25">
      <c r="A135" s="6" t="s">
        <v>126</v>
      </c>
      <c r="B135" s="6" t="s">
        <v>1024</v>
      </c>
      <c r="C135" s="14">
        <v>32000</v>
      </c>
      <c r="D135" s="7" t="s">
        <v>1025</v>
      </c>
      <c r="E135" s="6" t="s">
        <v>1026</v>
      </c>
      <c r="F135" s="6" t="s">
        <v>727</v>
      </c>
      <c r="G135" s="6" t="s">
        <v>727</v>
      </c>
      <c r="H135" s="7" t="s">
        <v>1027</v>
      </c>
    </row>
    <row r="136" spans="1:8" ht="25.5" x14ac:dyDescent="0.25">
      <c r="A136" s="6" t="s">
        <v>126</v>
      </c>
      <c r="B136" s="6" t="s">
        <v>1028</v>
      </c>
      <c r="C136" s="14">
        <v>38000</v>
      </c>
      <c r="D136" s="7" t="s">
        <v>1029</v>
      </c>
      <c r="E136" s="6" t="s">
        <v>1030</v>
      </c>
      <c r="F136" s="6" t="s">
        <v>727</v>
      </c>
      <c r="G136" s="6" t="s">
        <v>727</v>
      </c>
      <c r="H136" s="7" t="s">
        <v>1031</v>
      </c>
    </row>
    <row r="137" spans="1:8" ht="25.5" x14ac:dyDescent="0.25">
      <c r="A137" s="6" t="s">
        <v>126</v>
      </c>
      <c r="B137" s="6" t="s">
        <v>1032</v>
      </c>
      <c r="C137" s="14">
        <v>10500</v>
      </c>
      <c r="D137" s="7" t="s">
        <v>1033</v>
      </c>
      <c r="E137" s="6" t="s">
        <v>1034</v>
      </c>
      <c r="F137" s="6" t="s">
        <v>727</v>
      </c>
      <c r="G137" s="6" t="s">
        <v>727</v>
      </c>
      <c r="H137" s="7" t="s">
        <v>1035</v>
      </c>
    </row>
    <row r="138" spans="1:8" ht="25.5" x14ac:dyDescent="0.25">
      <c r="A138" s="6" t="s">
        <v>126</v>
      </c>
      <c r="B138" s="6" t="s">
        <v>1036</v>
      </c>
      <c r="C138" s="14">
        <v>15000</v>
      </c>
      <c r="D138" s="7" t="s">
        <v>1037</v>
      </c>
      <c r="E138" s="6" t="s">
        <v>1038</v>
      </c>
      <c r="F138" s="6" t="s">
        <v>727</v>
      </c>
      <c r="G138" s="6" t="s">
        <v>727</v>
      </c>
      <c r="H138" s="7" t="s">
        <v>1039</v>
      </c>
    </row>
    <row r="139" spans="1:8" ht="25.5" x14ac:dyDescent="0.25">
      <c r="A139" s="6" t="s">
        <v>126</v>
      </c>
      <c r="B139" s="6" t="s">
        <v>1040</v>
      </c>
      <c r="C139" s="14">
        <v>46000</v>
      </c>
      <c r="D139" s="7" t="s">
        <v>1041</v>
      </c>
      <c r="E139" s="6" t="s">
        <v>1042</v>
      </c>
      <c r="F139" s="6" t="s">
        <v>727</v>
      </c>
      <c r="G139" s="6" t="s">
        <v>727</v>
      </c>
      <c r="H139" s="7" t="s">
        <v>1043</v>
      </c>
    </row>
    <row r="140" spans="1:8" ht="25.5" x14ac:dyDescent="0.25">
      <c r="A140" s="6" t="s">
        <v>232</v>
      </c>
      <c r="B140" s="6" t="s">
        <v>1044</v>
      </c>
      <c r="C140" s="14">
        <v>8500</v>
      </c>
      <c r="D140" s="7" t="s">
        <v>1045</v>
      </c>
      <c r="E140" s="6" t="s">
        <v>1046</v>
      </c>
      <c r="F140" s="6" t="s">
        <v>727</v>
      </c>
      <c r="G140" s="6" t="s">
        <v>727</v>
      </c>
      <c r="H140" s="7" t="s">
        <v>1047</v>
      </c>
    </row>
    <row r="141" spans="1:8" ht="25.5" x14ac:dyDescent="0.25">
      <c r="A141" s="6" t="s">
        <v>232</v>
      </c>
      <c r="B141" s="6" t="s">
        <v>1048</v>
      </c>
      <c r="C141" s="14">
        <v>78000</v>
      </c>
      <c r="D141" s="7" t="s">
        <v>1049</v>
      </c>
      <c r="E141" s="6" t="s">
        <v>1050</v>
      </c>
      <c r="F141" s="6" t="s">
        <v>727</v>
      </c>
      <c r="G141" s="6" t="s">
        <v>727</v>
      </c>
      <c r="H141" s="7" t="s">
        <v>1051</v>
      </c>
    </row>
    <row r="142" spans="1:8" ht="25.5" x14ac:dyDescent="0.25">
      <c r="A142" s="6" t="s">
        <v>232</v>
      </c>
      <c r="B142" s="6" t="s">
        <v>1052</v>
      </c>
      <c r="C142" s="14">
        <v>144000</v>
      </c>
      <c r="D142" s="7" t="s">
        <v>1053</v>
      </c>
      <c r="E142" s="6" t="s">
        <v>1054</v>
      </c>
      <c r="F142" s="6" t="s">
        <v>727</v>
      </c>
      <c r="G142" s="6" t="s">
        <v>727</v>
      </c>
      <c r="H142" s="7" t="s">
        <v>1055</v>
      </c>
    </row>
    <row r="143" spans="1:8" ht="38.25" x14ac:dyDescent="0.25">
      <c r="A143" s="6" t="s">
        <v>232</v>
      </c>
      <c r="B143" s="6" t="s">
        <v>1056</v>
      </c>
      <c r="C143" s="14">
        <v>62000</v>
      </c>
      <c r="D143" s="7" t="s">
        <v>1057</v>
      </c>
      <c r="E143" s="6" t="s">
        <v>1058</v>
      </c>
      <c r="F143" s="6" t="s">
        <v>727</v>
      </c>
      <c r="G143" s="6" t="s">
        <v>727</v>
      </c>
      <c r="H143" s="7" t="s">
        <v>1059</v>
      </c>
    </row>
    <row r="144" spans="1:8" ht="25.5" x14ac:dyDescent="0.25">
      <c r="A144" s="6" t="s">
        <v>232</v>
      </c>
      <c r="B144" s="6" t="s">
        <v>1060</v>
      </c>
      <c r="C144" s="14">
        <v>78000</v>
      </c>
      <c r="D144" s="7" t="s">
        <v>1061</v>
      </c>
      <c r="E144" s="6" t="s">
        <v>1062</v>
      </c>
      <c r="F144" s="6" t="s">
        <v>727</v>
      </c>
      <c r="G144" s="6" t="s">
        <v>727</v>
      </c>
      <c r="H144" s="7" t="s">
        <v>1063</v>
      </c>
    </row>
    <row r="145" spans="1:8" ht="25.5" x14ac:dyDescent="0.25">
      <c r="A145" s="6" t="s">
        <v>8</v>
      </c>
      <c r="B145" s="6" t="s">
        <v>1064</v>
      </c>
      <c r="C145" s="14">
        <v>500</v>
      </c>
      <c r="D145" s="7" t="s">
        <v>1065</v>
      </c>
      <c r="E145" s="6" t="s">
        <v>1066</v>
      </c>
      <c r="F145" s="6" t="s">
        <v>727</v>
      </c>
      <c r="G145" s="6" t="s">
        <v>727</v>
      </c>
      <c r="H145" s="7" t="s">
        <v>1067</v>
      </c>
    </row>
    <row r="146" spans="1:8" x14ac:dyDescent="0.25">
      <c r="A146" s="6" t="s">
        <v>8</v>
      </c>
      <c r="B146" s="6" t="s">
        <v>1068</v>
      </c>
      <c r="C146" s="14">
        <v>1000</v>
      </c>
      <c r="D146" s="7" t="s">
        <v>1069</v>
      </c>
      <c r="E146" s="6" t="s">
        <v>1070</v>
      </c>
      <c r="F146" s="6" t="s">
        <v>727</v>
      </c>
      <c r="G146" s="6" t="s">
        <v>727</v>
      </c>
      <c r="H146" s="7" t="s">
        <v>1071</v>
      </c>
    </row>
    <row r="147" spans="1:8" x14ac:dyDescent="0.25">
      <c r="A147" s="6" t="s">
        <v>8</v>
      </c>
      <c r="B147" s="6" t="s">
        <v>1072</v>
      </c>
      <c r="C147" s="14">
        <v>2000</v>
      </c>
      <c r="D147" s="7" t="s">
        <v>1073</v>
      </c>
      <c r="E147" s="6" t="s">
        <v>1074</v>
      </c>
      <c r="F147" s="6" t="s">
        <v>727</v>
      </c>
      <c r="G147" s="6" t="s">
        <v>727</v>
      </c>
      <c r="H147" s="7" t="s">
        <v>1075</v>
      </c>
    </row>
    <row r="148" spans="1:8" x14ac:dyDescent="0.25">
      <c r="A148" s="6" t="s">
        <v>8</v>
      </c>
      <c r="B148" s="6" t="s">
        <v>1076</v>
      </c>
      <c r="C148" s="14">
        <v>800</v>
      </c>
      <c r="D148" s="7" t="s">
        <v>1077</v>
      </c>
      <c r="E148" s="6" t="s">
        <v>1078</v>
      </c>
      <c r="F148" s="6" t="s">
        <v>727</v>
      </c>
      <c r="G148" s="6" t="s">
        <v>727</v>
      </c>
      <c r="H148" s="7" t="s">
        <v>1079</v>
      </c>
    </row>
    <row r="149" spans="1:8" x14ac:dyDescent="0.25">
      <c r="A149" s="6" t="s">
        <v>8</v>
      </c>
      <c r="B149" s="6" t="s">
        <v>1080</v>
      </c>
      <c r="C149" s="14">
        <v>2000</v>
      </c>
      <c r="D149" s="7" t="s">
        <v>1081</v>
      </c>
      <c r="E149" s="6" t="s">
        <v>1082</v>
      </c>
      <c r="F149" s="6" t="s">
        <v>727</v>
      </c>
      <c r="G149" s="6" t="s">
        <v>727</v>
      </c>
      <c r="H149" s="7" t="s">
        <v>1083</v>
      </c>
    </row>
    <row r="150" spans="1:8" ht="51" x14ac:dyDescent="0.25">
      <c r="A150" s="6" t="s">
        <v>8</v>
      </c>
      <c r="B150" s="6" t="s">
        <v>1212</v>
      </c>
      <c r="C150" s="14">
        <v>22500</v>
      </c>
      <c r="D150" s="7" t="s">
        <v>1206</v>
      </c>
      <c r="E150" s="6" t="s">
        <v>1213</v>
      </c>
      <c r="F150" s="6"/>
      <c r="G150" s="6"/>
      <c r="H150" s="7" t="s">
        <v>1214</v>
      </c>
    </row>
    <row r="151" spans="1:8" x14ac:dyDescent="0.25">
      <c r="A151" t="s">
        <v>126</v>
      </c>
      <c r="B151" t="s">
        <v>1774</v>
      </c>
      <c r="C151">
        <v>61360</v>
      </c>
      <c r="D151" t="s">
        <v>1775</v>
      </c>
      <c r="E151" t="s">
        <v>1777</v>
      </c>
      <c r="H151" t="s">
        <v>1789</v>
      </c>
    </row>
    <row r="152" spans="1:8" x14ac:dyDescent="0.25">
      <c r="A152" t="s">
        <v>126</v>
      </c>
      <c r="B152" t="s">
        <v>1784</v>
      </c>
      <c r="C152">
        <v>65200</v>
      </c>
      <c r="D152" t="s">
        <v>1785</v>
      </c>
      <c r="E152" t="s">
        <v>1787</v>
      </c>
      <c r="H152" t="s">
        <v>1790</v>
      </c>
    </row>
    <row r="153" spans="1:8" x14ac:dyDescent="0.25">
      <c r="A153" s="6"/>
      <c r="B153" s="6"/>
      <c r="C153" s="14"/>
      <c r="D153" s="7"/>
      <c r="E153" s="6"/>
      <c r="F153" s="6"/>
      <c r="G153" s="6"/>
      <c r="H153" s="7"/>
    </row>
    <row r="154" spans="1:8" x14ac:dyDescent="0.25">
      <c r="A154" s="6"/>
      <c r="B154" s="6"/>
      <c r="C154" s="14"/>
      <c r="D154" s="7"/>
      <c r="E154" s="6"/>
      <c r="F154" s="6"/>
      <c r="G154" s="6"/>
      <c r="H154" s="7"/>
    </row>
    <row r="155" spans="1:8" x14ac:dyDescent="0.25">
      <c r="A155" s="6"/>
      <c r="B155" s="6"/>
      <c r="C155" s="14"/>
      <c r="D155" s="7"/>
      <c r="E155" s="6"/>
      <c r="F155" s="6"/>
      <c r="G155" s="6"/>
      <c r="H155" s="7"/>
    </row>
    <row r="156" spans="1:8" x14ac:dyDescent="0.25">
      <c r="A156" s="6"/>
      <c r="B156" s="6"/>
      <c r="C156" s="14"/>
      <c r="D156" s="7"/>
      <c r="E156" s="6"/>
      <c r="F156" s="6"/>
      <c r="G156" s="6"/>
      <c r="H156" s="7"/>
    </row>
    <row r="157" spans="1:8" x14ac:dyDescent="0.25">
      <c r="A157" s="6"/>
      <c r="B157" s="6"/>
      <c r="C157" s="14"/>
      <c r="D157" s="7"/>
      <c r="E157" s="6"/>
      <c r="F157" s="6"/>
      <c r="G157" s="6"/>
      <c r="H157" s="7"/>
    </row>
    <row r="158" spans="1:8" x14ac:dyDescent="0.25">
      <c r="A158" s="6"/>
      <c r="B158" s="6"/>
      <c r="C158" s="14"/>
      <c r="D158" s="7"/>
      <c r="E158" s="6"/>
      <c r="F158" s="6"/>
      <c r="G158" s="6"/>
      <c r="H158" s="7"/>
    </row>
    <row r="159" spans="1:8" x14ac:dyDescent="0.25">
      <c r="A159" s="6"/>
      <c r="B159" s="6"/>
      <c r="C159" s="14"/>
      <c r="D159" s="7"/>
      <c r="E159" s="6"/>
      <c r="F159" s="6"/>
      <c r="G159" s="6"/>
      <c r="H159" s="7"/>
    </row>
    <row r="160" spans="1:8" x14ac:dyDescent="0.25">
      <c r="A160" s="6"/>
      <c r="B160" s="6"/>
      <c r="C160" s="14"/>
      <c r="D160" s="7"/>
      <c r="E160" s="6"/>
      <c r="F160" s="6"/>
      <c r="G160" s="6"/>
      <c r="H160" s="7"/>
    </row>
    <row r="161" spans="1:8" x14ac:dyDescent="0.25">
      <c r="A161" s="6"/>
      <c r="B161" s="6"/>
      <c r="C161" s="14"/>
      <c r="D161" s="7"/>
      <c r="E161" s="6"/>
      <c r="F161" s="6"/>
      <c r="G161" s="6"/>
      <c r="H161" s="7"/>
    </row>
    <row r="162" spans="1:8" x14ac:dyDescent="0.25">
      <c r="A162" s="6"/>
      <c r="B162" s="6"/>
      <c r="C162" s="14"/>
      <c r="D162" s="7"/>
      <c r="E162" s="6"/>
      <c r="F162" s="6"/>
      <c r="G162" s="6"/>
      <c r="H162" s="7"/>
    </row>
    <row r="163" spans="1:8" x14ac:dyDescent="0.25">
      <c r="A163" s="6"/>
      <c r="B163" s="6"/>
      <c r="C163" s="14"/>
      <c r="D163" s="7"/>
      <c r="E163" s="6"/>
      <c r="F163" s="6"/>
      <c r="G163" s="6"/>
      <c r="H163" s="7"/>
    </row>
    <row r="164" spans="1:8" x14ac:dyDescent="0.25">
      <c r="A164" s="6"/>
      <c r="B164" s="6"/>
      <c r="C164" s="14"/>
      <c r="D164" s="7"/>
      <c r="E164" s="6"/>
      <c r="F164" s="6"/>
      <c r="G164" s="6"/>
      <c r="H164" s="7"/>
    </row>
    <row r="165" spans="1:8" x14ac:dyDescent="0.25">
      <c r="A165" s="6"/>
      <c r="B165" s="6"/>
      <c r="C165" s="14"/>
      <c r="D165" s="7"/>
      <c r="E165" s="6"/>
      <c r="F165" s="6"/>
      <c r="G165" s="6"/>
      <c r="H165" s="7"/>
    </row>
    <row r="166" spans="1:8" x14ac:dyDescent="0.25">
      <c r="A166" s="6"/>
      <c r="B166" s="6"/>
      <c r="C166" s="14"/>
      <c r="D166" s="7"/>
      <c r="E166" s="6"/>
      <c r="F166" s="6"/>
      <c r="G166" s="6"/>
      <c r="H166" s="7"/>
    </row>
    <row r="167" spans="1:8" x14ac:dyDescent="0.25">
      <c r="A167" s="6"/>
      <c r="B167" s="6"/>
      <c r="C167" s="14"/>
      <c r="D167" s="7"/>
      <c r="E167" s="6"/>
      <c r="F167" s="6"/>
      <c r="G167" s="6"/>
      <c r="H167" s="7"/>
    </row>
    <row r="168" spans="1:8" x14ac:dyDescent="0.25">
      <c r="A168" s="6"/>
      <c r="B168" s="6"/>
      <c r="C168" s="14"/>
      <c r="D168" s="7"/>
      <c r="E168" s="6"/>
      <c r="F168" s="6"/>
      <c r="G168" s="6"/>
      <c r="H168" s="7"/>
    </row>
    <row r="169" spans="1:8" x14ac:dyDescent="0.25">
      <c r="A169" s="6"/>
      <c r="B169" s="6"/>
      <c r="C169" s="14"/>
      <c r="D169" s="7"/>
      <c r="E169" s="6"/>
      <c r="F169" s="6"/>
      <c r="G169" s="6"/>
      <c r="H169" s="7"/>
    </row>
    <row r="170" spans="1:8" x14ac:dyDescent="0.25">
      <c r="A170" s="6"/>
      <c r="B170" s="6"/>
      <c r="C170" s="14"/>
      <c r="D170" s="7"/>
      <c r="E170" s="6"/>
      <c r="F170" s="6"/>
      <c r="G170" s="6"/>
      <c r="H170" s="7"/>
    </row>
    <row r="171" spans="1:8" x14ac:dyDescent="0.25">
      <c r="A171" s="6"/>
      <c r="B171" s="6"/>
      <c r="C171" s="14"/>
      <c r="D171" s="7"/>
      <c r="E171" s="6"/>
      <c r="F171" s="6"/>
      <c r="G171" s="6"/>
      <c r="H171" s="7"/>
    </row>
    <row r="172" spans="1:8" x14ac:dyDescent="0.25">
      <c r="A172" s="6"/>
      <c r="B172" s="6"/>
      <c r="C172" s="14"/>
      <c r="D172" s="7"/>
      <c r="E172" s="6"/>
      <c r="F172" s="6"/>
      <c r="G172" s="6"/>
      <c r="H172" s="7"/>
    </row>
    <row r="173" spans="1:8" x14ac:dyDescent="0.25">
      <c r="A173" s="6"/>
      <c r="B173" s="6"/>
      <c r="C173" s="14"/>
      <c r="D173" s="7"/>
      <c r="E173" s="6"/>
      <c r="F173" s="6"/>
      <c r="G173" s="6"/>
      <c r="H173" s="7"/>
    </row>
    <row r="174" spans="1:8" x14ac:dyDescent="0.25">
      <c r="A174" s="6"/>
      <c r="B174" s="6"/>
      <c r="C174" s="14"/>
      <c r="D174" s="7"/>
      <c r="E174" s="6"/>
      <c r="F174" s="6"/>
      <c r="G174" s="6"/>
      <c r="H174" s="7"/>
    </row>
    <row r="175" spans="1:8" x14ac:dyDescent="0.25">
      <c r="A175" s="6"/>
      <c r="B175" s="6"/>
      <c r="C175" s="14"/>
      <c r="D175" s="7"/>
      <c r="E175" s="6"/>
      <c r="F175" s="6"/>
      <c r="G175" s="6"/>
      <c r="H175" s="7"/>
    </row>
    <row r="176" spans="1:8" x14ac:dyDescent="0.25">
      <c r="A176" s="6"/>
      <c r="B176" s="6"/>
      <c r="C176" s="14"/>
      <c r="D176" s="7"/>
      <c r="E176" s="6"/>
      <c r="F176" s="6"/>
      <c r="G176" s="6"/>
      <c r="H176" s="7"/>
    </row>
    <row r="177" spans="1:8" x14ac:dyDescent="0.25">
      <c r="A177" s="6"/>
      <c r="B177" s="6"/>
      <c r="C177" s="14"/>
      <c r="D177" s="7"/>
      <c r="E177" s="6"/>
      <c r="F177" s="6"/>
      <c r="G177" s="6"/>
      <c r="H177" s="7"/>
    </row>
    <row r="178" spans="1:8" x14ac:dyDescent="0.25">
      <c r="A178" s="6"/>
      <c r="B178" s="6"/>
      <c r="C178" s="14"/>
      <c r="D178" s="7"/>
      <c r="E178" s="6"/>
      <c r="F178" s="6"/>
      <c r="G178" s="6"/>
      <c r="H178" s="7"/>
    </row>
    <row r="179" spans="1:8" x14ac:dyDescent="0.25">
      <c r="A179" s="6"/>
      <c r="B179" s="6"/>
      <c r="C179" s="14"/>
      <c r="D179" s="7"/>
      <c r="E179" s="6"/>
      <c r="F179" s="6"/>
      <c r="G179" s="6"/>
      <c r="H179" s="7"/>
    </row>
    <row r="180" spans="1:8" x14ac:dyDescent="0.25">
      <c r="A180" s="6"/>
      <c r="B180" s="6"/>
      <c r="C180" s="14"/>
      <c r="D180" s="7"/>
      <c r="E180" s="6"/>
      <c r="F180" s="6"/>
      <c r="G180" s="6"/>
      <c r="H180" s="7"/>
    </row>
    <row r="181" spans="1:8" x14ac:dyDescent="0.25">
      <c r="A181" s="6"/>
      <c r="B181" s="6"/>
      <c r="C181" s="14"/>
      <c r="D181" s="7"/>
      <c r="E181" s="6"/>
      <c r="F181" s="6"/>
      <c r="G181" s="6"/>
      <c r="H181" s="7"/>
    </row>
    <row r="182" spans="1:8" x14ac:dyDescent="0.25">
      <c r="A182" s="6"/>
      <c r="B182" s="6"/>
      <c r="C182" s="14"/>
      <c r="D182" s="7"/>
      <c r="E182" s="6"/>
      <c r="F182" s="6"/>
      <c r="G182" s="6"/>
      <c r="H182" s="7"/>
    </row>
    <row r="183" spans="1:8" x14ac:dyDescent="0.25">
      <c r="A183" s="6"/>
      <c r="B183" s="6"/>
      <c r="C183" s="14"/>
      <c r="D183" s="7"/>
      <c r="E183" s="6"/>
      <c r="F183" s="6"/>
      <c r="G183" s="6"/>
      <c r="H183" s="7"/>
    </row>
    <row r="184" spans="1:8" x14ac:dyDescent="0.25">
      <c r="A184" s="6"/>
      <c r="B184" s="6"/>
      <c r="C184" s="14"/>
      <c r="D184" s="7"/>
      <c r="E184" s="6"/>
      <c r="F184" s="6"/>
      <c r="G184" s="6"/>
      <c r="H184" s="7"/>
    </row>
    <row r="185" spans="1:8" x14ac:dyDescent="0.25">
      <c r="A185" s="6"/>
      <c r="B185" s="6"/>
      <c r="C185" s="14"/>
      <c r="D185" s="7"/>
      <c r="E185" s="6"/>
      <c r="F185" s="6"/>
      <c r="G185" s="6"/>
      <c r="H185" s="7"/>
    </row>
    <row r="186" spans="1:8" x14ac:dyDescent="0.25">
      <c r="A186" s="6"/>
      <c r="B186" s="6"/>
      <c r="C186" s="14"/>
      <c r="D186" s="7"/>
      <c r="E186" s="6"/>
      <c r="F186" s="6"/>
      <c r="G186" s="6"/>
      <c r="H186" s="7"/>
    </row>
    <row r="187" spans="1:8" x14ac:dyDescent="0.25">
      <c r="A187" s="6"/>
      <c r="B187" s="6"/>
      <c r="C187" s="14"/>
      <c r="D187" s="7"/>
      <c r="E187" s="6"/>
      <c r="F187" s="6"/>
      <c r="G187" s="6"/>
      <c r="H187" s="7"/>
    </row>
    <row r="188" spans="1:8" x14ac:dyDescent="0.25">
      <c r="A188" s="6"/>
      <c r="B188" s="6"/>
      <c r="C188" s="14"/>
      <c r="D188" s="7"/>
      <c r="E188" s="6"/>
      <c r="F188" s="6"/>
      <c r="G188" s="6"/>
      <c r="H188" s="7"/>
    </row>
    <row r="189" spans="1:8" x14ac:dyDescent="0.25">
      <c r="A189" s="6"/>
      <c r="B189" s="6"/>
      <c r="C189" s="14"/>
      <c r="D189" s="7"/>
      <c r="E189" s="6"/>
      <c r="F189" s="6"/>
      <c r="G189" s="6"/>
      <c r="H189" s="7"/>
    </row>
    <row r="190" spans="1:8" x14ac:dyDescent="0.25">
      <c r="A190" s="6"/>
      <c r="B190" s="6"/>
      <c r="C190" s="14"/>
      <c r="D190" s="7"/>
      <c r="E190" s="6"/>
      <c r="F190" s="6"/>
      <c r="G190" s="6"/>
      <c r="H190" s="7"/>
    </row>
    <row r="191" spans="1:8" x14ac:dyDescent="0.25">
      <c r="A191" s="6"/>
      <c r="B191" s="6"/>
      <c r="C191" s="14"/>
      <c r="D191" s="7"/>
      <c r="E191" s="6"/>
      <c r="F191" s="6"/>
      <c r="G191" s="6"/>
      <c r="H191" s="7"/>
    </row>
    <row r="192" spans="1:8" x14ac:dyDescent="0.25">
      <c r="A192" s="6"/>
      <c r="B192" s="6"/>
      <c r="C192" s="14"/>
      <c r="D192" s="7"/>
      <c r="E192" s="6"/>
      <c r="F192" s="6"/>
      <c r="G192" s="6"/>
      <c r="H192" s="7"/>
    </row>
    <row r="193" spans="1:8" x14ac:dyDescent="0.25">
      <c r="A193" s="6"/>
      <c r="B193" s="6"/>
      <c r="C193" s="14"/>
      <c r="D193" s="7"/>
      <c r="E193" s="6"/>
      <c r="F193" s="6"/>
      <c r="G193" s="6"/>
      <c r="H193" s="7"/>
    </row>
    <row r="194" spans="1:8" x14ac:dyDescent="0.25">
      <c r="A194" s="6"/>
      <c r="B194" s="6"/>
      <c r="C194" s="14"/>
      <c r="D194" s="7"/>
      <c r="E194" s="6"/>
      <c r="F194" s="6"/>
      <c r="G194" s="6"/>
      <c r="H194" s="7"/>
    </row>
    <row r="195" spans="1:8" x14ac:dyDescent="0.25">
      <c r="A195" s="6"/>
      <c r="B195" s="6"/>
      <c r="C195" s="14"/>
      <c r="D195" s="7"/>
      <c r="E195" s="6"/>
      <c r="F195" s="6"/>
      <c r="G195" s="6"/>
      <c r="H195" s="7"/>
    </row>
    <row r="196" spans="1:8" x14ac:dyDescent="0.25">
      <c r="A196" s="6"/>
      <c r="B196" s="6"/>
      <c r="C196" s="14"/>
      <c r="D196" s="7"/>
      <c r="E196" s="6"/>
      <c r="F196" s="6"/>
      <c r="G196" s="6"/>
      <c r="H196" s="7"/>
    </row>
    <row r="197" spans="1:8" x14ac:dyDescent="0.25">
      <c r="A197" s="6"/>
      <c r="B197" s="6"/>
      <c r="C197" s="14"/>
      <c r="D197" s="7"/>
      <c r="E197" s="6"/>
      <c r="F197" s="6"/>
      <c r="G197" s="6"/>
      <c r="H197" s="7"/>
    </row>
    <row r="198" spans="1:8" x14ac:dyDescent="0.25">
      <c r="A198" s="6"/>
      <c r="B198" s="6"/>
      <c r="C198" s="14"/>
      <c r="D198" s="7"/>
      <c r="E198" s="6"/>
      <c r="F198" s="6"/>
      <c r="G198" s="6"/>
      <c r="H198" s="7"/>
    </row>
    <row r="199" spans="1:8" x14ac:dyDescent="0.25">
      <c r="A199" s="6"/>
      <c r="B199" s="6"/>
      <c r="C199" s="14"/>
      <c r="D199" s="7"/>
      <c r="E199" s="6"/>
      <c r="F199" s="6"/>
      <c r="G199" s="6"/>
      <c r="H199" s="7"/>
    </row>
    <row r="200" spans="1:8" x14ac:dyDescent="0.25">
      <c r="A200" s="6"/>
      <c r="B200" s="6"/>
      <c r="C200" s="14"/>
      <c r="D200" s="7"/>
      <c r="E200" s="6"/>
      <c r="F200" s="6"/>
      <c r="G200" s="6"/>
      <c r="H200" s="7"/>
    </row>
  </sheetData>
  <autoFilter ref="A1:H200" xr:uid="{31A9D9DF-CB05-425B-9105-7EC609B4B6FE}"/>
  <dataValidations count="1">
    <dataValidation type="list" allowBlank="1" showInputMessage="1" showErrorMessage="1" sqref="A2:A200" xr:uid="{29FC4CD1-8354-4918-85C9-252E466894C1}">
      <formula1>Colecciones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6F78-4502-4FDD-86DB-F357CE57097A}">
  <dimension ref="A1:A30"/>
  <sheetViews>
    <sheetView workbookViewId="0"/>
  </sheetViews>
  <sheetFormatPr baseColWidth="10" defaultRowHeight="15" x14ac:dyDescent="0.25"/>
  <cols>
    <col min="1" max="1" width="40.7109375" customWidth="1"/>
  </cols>
  <sheetData>
    <row r="1" spans="1:1" x14ac:dyDescent="0.25">
      <c r="A1" s="2" t="s">
        <v>9</v>
      </c>
    </row>
    <row r="2" spans="1:1" x14ac:dyDescent="0.25">
      <c r="A2" s="1" t="s">
        <v>8</v>
      </c>
    </row>
    <row r="3" spans="1:1" x14ac:dyDescent="0.25">
      <c r="A3" s="1" t="s">
        <v>10</v>
      </c>
    </row>
    <row r="4" spans="1:1" x14ac:dyDescent="0.25">
      <c r="A4" s="1" t="s">
        <v>103</v>
      </c>
    </row>
    <row r="5" spans="1:1" x14ac:dyDescent="0.25">
      <c r="A5" s="1" t="s">
        <v>126</v>
      </c>
    </row>
    <row r="6" spans="1:1" x14ac:dyDescent="0.25">
      <c r="A6" s="1" t="s">
        <v>157</v>
      </c>
    </row>
    <row r="7" spans="1:1" x14ac:dyDescent="0.25">
      <c r="A7" s="1" t="s">
        <v>173</v>
      </c>
    </row>
    <row r="8" spans="1:1" x14ac:dyDescent="0.25">
      <c r="A8" s="1" t="s">
        <v>11</v>
      </c>
    </row>
    <row r="9" spans="1:1" x14ac:dyDescent="0.25">
      <c r="A9" s="1" t="s">
        <v>12</v>
      </c>
    </row>
    <row r="10" spans="1:1" x14ac:dyDescent="0.25">
      <c r="A10" s="1" t="s">
        <v>232</v>
      </c>
    </row>
    <row r="11" spans="1:1" x14ac:dyDescent="0.25">
      <c r="A11" s="1" t="s">
        <v>266</v>
      </c>
    </row>
    <row r="12" spans="1:1" x14ac:dyDescent="0.25">
      <c r="A12" s="1" t="s">
        <v>290</v>
      </c>
    </row>
    <row r="13" spans="1:1" x14ac:dyDescent="0.25">
      <c r="A13" s="1" t="s">
        <v>309</v>
      </c>
    </row>
    <row r="14" spans="1:1" x14ac:dyDescent="0.25">
      <c r="A14" s="1" t="s">
        <v>463</v>
      </c>
    </row>
    <row r="15" spans="1:1" x14ac:dyDescent="0.25">
      <c r="A15" s="1" t="s">
        <v>548</v>
      </c>
    </row>
    <row r="16" spans="1:1" x14ac:dyDescent="0.25">
      <c r="A16" s="1" t="s">
        <v>443</v>
      </c>
    </row>
    <row r="17" spans="1:1" x14ac:dyDescent="0.25">
      <c r="A17" s="1" t="s">
        <v>454</v>
      </c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/>
  </sheetViews>
  <sheetFormatPr baseColWidth="10" defaultRowHeight="15" x14ac:dyDescent="0.25"/>
  <cols>
    <col min="1" max="1" width="38.7109375" customWidth="1"/>
    <col min="2" max="3" width="10.7109375" customWidth="1"/>
    <col min="4" max="4" width="18.7109375" customWidth="1"/>
    <col min="5" max="5" width="52.7109375" customWidth="1"/>
    <col min="7" max="7" width="38.7109375" customWidth="1"/>
  </cols>
  <sheetData>
    <row r="1" spans="1:7" x14ac:dyDescent="0.25">
      <c r="A1" s="9" t="s">
        <v>705</v>
      </c>
      <c r="B1" s="9"/>
      <c r="C1" s="9"/>
      <c r="D1" s="9"/>
      <c r="E1" s="9"/>
    </row>
    <row r="2" spans="1:7" x14ac:dyDescent="0.25">
      <c r="A2" s="6" t="s">
        <v>706</v>
      </c>
    </row>
    <row r="4" spans="1:7" x14ac:dyDescent="0.25">
      <c r="A4" s="9" t="s">
        <v>707</v>
      </c>
      <c r="B4" s="9"/>
      <c r="C4" s="9"/>
      <c r="D4" s="9"/>
      <c r="E4" s="9"/>
    </row>
    <row r="5" spans="1:7" x14ac:dyDescent="0.25">
      <c r="A5" s="5" t="s">
        <v>52</v>
      </c>
      <c r="B5" s="5" t="s">
        <v>494</v>
      </c>
      <c r="C5" s="5" t="s">
        <v>495</v>
      </c>
      <c r="D5" s="5" t="s">
        <v>708</v>
      </c>
      <c r="E5" s="5" t="s">
        <v>492</v>
      </c>
      <c r="G5" s="5" t="s">
        <v>709</v>
      </c>
    </row>
    <row r="6" spans="1:7" x14ac:dyDescent="0.25">
      <c r="A6" s="6" t="s">
        <v>710</v>
      </c>
      <c r="B6" s="6">
        <v>1</v>
      </c>
      <c r="C6" s="6">
        <v>200</v>
      </c>
      <c r="D6" s="14">
        <v>250</v>
      </c>
      <c r="E6" s="7" t="s">
        <v>711</v>
      </c>
      <c r="G6" s="6" t="s">
        <v>710</v>
      </c>
    </row>
    <row r="7" spans="1:7" x14ac:dyDescent="0.25">
      <c r="A7" s="6" t="s">
        <v>710</v>
      </c>
      <c r="B7" s="6">
        <v>201</v>
      </c>
      <c r="C7" s="6">
        <v>500</v>
      </c>
      <c r="D7" s="14">
        <v>220</v>
      </c>
      <c r="E7" s="7"/>
      <c r="G7" s="6" t="s">
        <v>712</v>
      </c>
    </row>
    <row r="8" spans="1:7" x14ac:dyDescent="0.25">
      <c r="A8" s="6" t="s">
        <v>710</v>
      </c>
      <c r="B8" s="6">
        <v>501</v>
      </c>
      <c r="C8" s="6">
        <v>1000</v>
      </c>
      <c r="D8" s="14">
        <v>190</v>
      </c>
      <c r="E8" s="7"/>
      <c r="G8" s="6" t="s">
        <v>713</v>
      </c>
    </row>
    <row r="9" spans="1:7" x14ac:dyDescent="0.25">
      <c r="A9" s="6" t="s">
        <v>710</v>
      </c>
      <c r="B9" s="6">
        <v>1001</v>
      </c>
      <c r="C9" s="6"/>
      <c r="D9" s="14">
        <v>180</v>
      </c>
      <c r="E9" s="7" t="s">
        <v>714</v>
      </c>
    </row>
    <row r="10" spans="1:7" x14ac:dyDescent="0.25">
      <c r="A10" s="6" t="s">
        <v>712</v>
      </c>
      <c r="B10" s="6">
        <v>1</v>
      </c>
      <c r="C10" s="6">
        <v>20</v>
      </c>
      <c r="D10" s="14">
        <v>3000</v>
      </c>
      <c r="E10" s="7" t="s">
        <v>711</v>
      </c>
    </row>
    <row r="11" spans="1:7" x14ac:dyDescent="0.25">
      <c r="A11" s="6" t="s">
        <v>712</v>
      </c>
      <c r="B11" s="6">
        <v>21</v>
      </c>
      <c r="C11" s="6">
        <v>50</v>
      </c>
      <c r="D11" s="14">
        <v>2800</v>
      </c>
      <c r="E11" s="7"/>
    </row>
    <row r="12" spans="1:7" x14ac:dyDescent="0.25">
      <c r="A12" s="6" t="s">
        <v>712</v>
      </c>
      <c r="B12" s="6">
        <v>51</v>
      </c>
      <c r="C12" s="6">
        <v>100</v>
      </c>
      <c r="D12" s="14">
        <v>2600</v>
      </c>
      <c r="E12" s="7"/>
    </row>
    <row r="13" spans="1:7" x14ac:dyDescent="0.25">
      <c r="A13" s="6" t="s">
        <v>712</v>
      </c>
      <c r="B13" s="6">
        <v>101</v>
      </c>
      <c r="C13" s="6">
        <v>300</v>
      </c>
      <c r="D13" s="14">
        <v>2400</v>
      </c>
      <c r="E13" s="7"/>
    </row>
    <row r="14" spans="1:7" x14ac:dyDescent="0.25">
      <c r="A14" s="6" t="s">
        <v>712</v>
      </c>
      <c r="B14" s="6">
        <v>301</v>
      </c>
      <c r="C14" s="6"/>
      <c r="D14" s="14">
        <v>2300</v>
      </c>
      <c r="E14" s="7" t="s">
        <v>715</v>
      </c>
    </row>
    <row r="15" spans="1:7" x14ac:dyDescent="0.25">
      <c r="A15" s="6" t="s">
        <v>713</v>
      </c>
      <c r="B15" s="6">
        <v>1</v>
      </c>
      <c r="C15" s="6">
        <v>20</v>
      </c>
      <c r="D15" s="14">
        <v>2600</v>
      </c>
      <c r="E15" s="7" t="s">
        <v>711</v>
      </c>
    </row>
    <row r="16" spans="1:7" x14ac:dyDescent="0.25">
      <c r="A16" s="6" t="s">
        <v>713</v>
      </c>
      <c r="B16" s="6">
        <v>21</v>
      </c>
      <c r="C16" s="6">
        <v>50</v>
      </c>
      <c r="D16" s="14">
        <v>2500</v>
      </c>
      <c r="E16" s="7"/>
    </row>
    <row r="17" spans="1:5" x14ac:dyDescent="0.25">
      <c r="A17" s="6" t="s">
        <v>713</v>
      </c>
      <c r="B17" s="6">
        <v>51</v>
      </c>
      <c r="C17" s="6">
        <v>100</v>
      </c>
      <c r="D17" s="14">
        <v>2300</v>
      </c>
      <c r="E17" s="7"/>
    </row>
    <row r="18" spans="1:5" x14ac:dyDescent="0.25">
      <c r="A18" s="6" t="s">
        <v>713</v>
      </c>
      <c r="B18" s="6">
        <v>101</v>
      </c>
      <c r="C18" s="6">
        <v>300</v>
      </c>
      <c r="D18" s="14">
        <v>2100</v>
      </c>
      <c r="E18" s="7"/>
    </row>
    <row r="19" spans="1:5" x14ac:dyDescent="0.25">
      <c r="A19" s="6" t="s">
        <v>713</v>
      </c>
      <c r="B19" s="6">
        <v>301</v>
      </c>
      <c r="C19" s="6"/>
      <c r="D19" s="14">
        <v>1900</v>
      </c>
      <c r="E19" s="7" t="s">
        <v>715</v>
      </c>
    </row>
    <row r="21" spans="1:5" x14ac:dyDescent="0.25">
      <c r="A21" s="9" t="s">
        <v>716</v>
      </c>
      <c r="B21" s="9"/>
      <c r="C21" s="9"/>
      <c r="D21" s="9"/>
      <c r="E21" s="9"/>
    </row>
    <row r="22" spans="1:5" ht="25.5" x14ac:dyDescent="0.25">
      <c r="A22" s="5" t="s">
        <v>52</v>
      </c>
      <c r="B22" s="5" t="s">
        <v>717</v>
      </c>
      <c r="C22" s="5" t="s">
        <v>708</v>
      </c>
      <c r="D22" s="5" t="s">
        <v>718</v>
      </c>
      <c r="E22" s="5" t="s">
        <v>719</v>
      </c>
    </row>
    <row r="23" spans="1:5" x14ac:dyDescent="0.25">
      <c r="A23" s="23" t="s">
        <v>710</v>
      </c>
      <c r="B23" s="23">
        <v>250</v>
      </c>
      <c r="C23" s="14">
        <f>SUMPRODUCT((ESCU_PROD=A23)*(ESCU_DESDE&lt;&gt;"")*(ESCU_DESDE&lt;=B23)*((ESCU_HASTA&gt;=B23)+(ESCU_HASTA=""))*ESCU_PRECIO)</f>
        <v>220</v>
      </c>
      <c r="D23" s="14">
        <f>B23*C23</f>
        <v>55000</v>
      </c>
      <c r="E23" s="14">
        <f>CEILING(D23,REDONDEO)</f>
        <v>55000</v>
      </c>
    </row>
    <row r="25" spans="1:5" ht="63.75" x14ac:dyDescent="0.25">
      <c r="A25" s="7" t="s">
        <v>720</v>
      </c>
    </row>
  </sheetData>
  <dataValidations count="1">
    <dataValidation type="list" allowBlank="1" showInputMessage="1" showErrorMessage="1" sqref="A23" xr:uid="{00000000-0002-0000-0800-000000000000}">
      <formula1>ESCU_ITEMS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8"/>
  <sheetViews>
    <sheetView workbookViewId="0"/>
  </sheetViews>
  <sheetFormatPr baseColWidth="10" defaultRowHeight="15" x14ac:dyDescent="0.25"/>
  <sheetData>
    <row r="1" spans="1:6" x14ac:dyDescent="0.25">
      <c r="A1" t="s">
        <v>1664</v>
      </c>
      <c r="B1" t="s">
        <v>52</v>
      </c>
      <c r="C1" t="s">
        <v>494</v>
      </c>
      <c r="D1" t="s">
        <v>495</v>
      </c>
      <c r="E1" t="s">
        <v>1665</v>
      </c>
      <c r="F1" t="s">
        <v>492</v>
      </c>
    </row>
    <row r="2" spans="1:6" x14ac:dyDescent="0.25">
      <c r="A2" t="s">
        <v>1461</v>
      </c>
      <c r="B2" t="s">
        <v>1086</v>
      </c>
      <c r="C2">
        <v>1</v>
      </c>
      <c r="D2">
        <v>70</v>
      </c>
      <c r="E2">
        <v>400</v>
      </c>
      <c r="F2" t="s">
        <v>1666</v>
      </c>
    </row>
    <row r="3" spans="1:6" x14ac:dyDescent="0.25">
      <c r="A3" t="s">
        <v>1461</v>
      </c>
      <c r="B3" t="s">
        <v>1086</v>
      </c>
      <c r="C3">
        <v>71</v>
      </c>
      <c r="D3">
        <v>150</v>
      </c>
      <c r="E3">
        <v>150</v>
      </c>
      <c r="F3" t="s">
        <v>1666</v>
      </c>
    </row>
    <row r="4" spans="1:6" x14ac:dyDescent="0.25">
      <c r="A4" t="s">
        <v>1461</v>
      </c>
      <c r="B4" t="s">
        <v>1086</v>
      </c>
      <c r="C4">
        <v>151</v>
      </c>
      <c r="D4">
        <v>500</v>
      </c>
      <c r="E4">
        <v>80</v>
      </c>
      <c r="F4" t="s">
        <v>1666</v>
      </c>
    </row>
    <row r="5" spans="1:6" x14ac:dyDescent="0.25">
      <c r="A5" t="s">
        <v>1461</v>
      </c>
      <c r="B5" t="s">
        <v>1086</v>
      </c>
      <c r="C5">
        <v>501</v>
      </c>
      <c r="D5">
        <v>2000</v>
      </c>
      <c r="E5">
        <v>70</v>
      </c>
      <c r="F5" t="s">
        <v>1666</v>
      </c>
    </row>
    <row r="6" spans="1:6" x14ac:dyDescent="0.25">
      <c r="A6" t="s">
        <v>1468</v>
      </c>
      <c r="B6" t="s">
        <v>81</v>
      </c>
      <c r="C6">
        <v>1</v>
      </c>
      <c r="D6">
        <v>10</v>
      </c>
      <c r="E6">
        <v>100</v>
      </c>
      <c r="F6" t="s">
        <v>1667</v>
      </c>
    </row>
    <row r="7" spans="1:6" x14ac:dyDescent="0.25">
      <c r="A7" t="s">
        <v>1468</v>
      </c>
      <c r="B7" t="s">
        <v>81</v>
      </c>
      <c r="C7">
        <v>11</v>
      </c>
      <c r="D7">
        <v>2000</v>
      </c>
      <c r="E7">
        <v>70</v>
      </c>
      <c r="F7" t="s">
        <v>1667</v>
      </c>
    </row>
    <row r="8" spans="1:6" x14ac:dyDescent="0.25">
      <c r="A8" t="s">
        <v>1483</v>
      </c>
      <c r="B8" t="s">
        <v>95</v>
      </c>
      <c r="C8">
        <v>1</v>
      </c>
      <c r="D8">
        <v>10</v>
      </c>
      <c r="E8">
        <v>100</v>
      </c>
      <c r="F8" t="s">
        <v>1668</v>
      </c>
    </row>
    <row r="9" spans="1:6" x14ac:dyDescent="0.25">
      <c r="A9" t="s">
        <v>1483</v>
      </c>
      <c r="B9" t="s">
        <v>95</v>
      </c>
      <c r="C9">
        <v>11</v>
      </c>
      <c r="D9">
        <v>2000</v>
      </c>
      <c r="E9">
        <v>70</v>
      </c>
      <c r="F9" t="s">
        <v>1668</v>
      </c>
    </row>
    <row r="10" spans="1:6" x14ac:dyDescent="0.25">
      <c r="A10" t="s">
        <v>1451</v>
      </c>
      <c r="B10" t="s">
        <v>70</v>
      </c>
      <c r="C10">
        <v>1</v>
      </c>
      <c r="D10">
        <v>20</v>
      </c>
      <c r="E10">
        <v>2600</v>
      </c>
      <c r="F10" t="s">
        <v>1669</v>
      </c>
    </row>
    <row r="11" spans="1:6" x14ac:dyDescent="0.25">
      <c r="A11" t="s">
        <v>1451</v>
      </c>
      <c r="B11" t="s">
        <v>70</v>
      </c>
      <c r="C11">
        <v>21</v>
      </c>
      <c r="D11">
        <v>50</v>
      </c>
      <c r="E11">
        <v>2500</v>
      </c>
      <c r="F11" t="s">
        <v>1669</v>
      </c>
    </row>
    <row r="12" spans="1:6" x14ac:dyDescent="0.25">
      <c r="A12" t="s">
        <v>1451</v>
      </c>
      <c r="B12" t="s">
        <v>70</v>
      </c>
      <c r="C12">
        <v>51</v>
      </c>
      <c r="D12">
        <v>100</v>
      </c>
      <c r="E12">
        <v>2300</v>
      </c>
      <c r="F12" t="s">
        <v>1669</v>
      </c>
    </row>
    <row r="13" spans="1:6" x14ac:dyDescent="0.25">
      <c r="A13" t="s">
        <v>1451</v>
      </c>
      <c r="B13" t="s">
        <v>70</v>
      </c>
      <c r="C13">
        <v>101</v>
      </c>
      <c r="D13">
        <v>300</v>
      </c>
      <c r="E13">
        <v>2100</v>
      </c>
      <c r="F13" t="s">
        <v>1669</v>
      </c>
    </row>
    <row r="14" spans="1:6" x14ac:dyDescent="0.25">
      <c r="A14" t="s">
        <v>1451</v>
      </c>
      <c r="B14" t="s">
        <v>70</v>
      </c>
      <c r="C14">
        <v>301</v>
      </c>
      <c r="D14">
        <v>99999</v>
      </c>
      <c r="E14">
        <v>1900</v>
      </c>
      <c r="F14" t="s">
        <v>1669</v>
      </c>
    </row>
    <row r="15" spans="1:6" x14ac:dyDescent="0.25">
      <c r="A15" t="s">
        <v>1454</v>
      </c>
      <c r="B15" t="s">
        <v>73</v>
      </c>
      <c r="C15">
        <v>1</v>
      </c>
      <c r="D15">
        <v>10</v>
      </c>
      <c r="E15">
        <v>4000</v>
      </c>
      <c r="F15" t="s">
        <v>1670</v>
      </c>
    </row>
    <row r="16" spans="1:6" x14ac:dyDescent="0.25">
      <c r="A16" t="s">
        <v>1454</v>
      </c>
      <c r="B16" t="s">
        <v>73</v>
      </c>
      <c r="C16">
        <v>11</v>
      </c>
      <c r="D16">
        <v>20</v>
      </c>
      <c r="E16">
        <v>3400</v>
      </c>
      <c r="F16" t="s">
        <v>1670</v>
      </c>
    </row>
    <row r="17" spans="1:6" x14ac:dyDescent="0.25">
      <c r="A17" t="s">
        <v>1454</v>
      </c>
      <c r="B17" t="s">
        <v>73</v>
      </c>
      <c r="C17">
        <v>21</v>
      </c>
      <c r="D17">
        <v>50</v>
      </c>
      <c r="E17">
        <v>3000</v>
      </c>
      <c r="F17" t="s">
        <v>1670</v>
      </c>
    </row>
    <row r="18" spans="1:6" x14ac:dyDescent="0.25">
      <c r="A18" t="s">
        <v>1454</v>
      </c>
      <c r="B18" t="s">
        <v>73</v>
      </c>
      <c r="C18">
        <v>51</v>
      </c>
      <c r="D18">
        <v>100</v>
      </c>
      <c r="E18">
        <v>2600</v>
      </c>
      <c r="F18" t="s">
        <v>1670</v>
      </c>
    </row>
    <row r="19" spans="1:6" x14ac:dyDescent="0.25">
      <c r="A19" t="s">
        <v>1444</v>
      </c>
      <c r="B19" t="s">
        <v>1201</v>
      </c>
      <c r="C19">
        <v>1</v>
      </c>
      <c r="D19">
        <v>10</v>
      </c>
      <c r="E19">
        <v>4000</v>
      </c>
      <c r="F19" t="s">
        <v>1671</v>
      </c>
    </row>
    <row r="20" spans="1:6" x14ac:dyDescent="0.25">
      <c r="A20" t="s">
        <v>1444</v>
      </c>
      <c r="B20" t="s">
        <v>1201</v>
      </c>
      <c r="C20">
        <v>11</v>
      </c>
      <c r="D20">
        <v>20</v>
      </c>
      <c r="E20">
        <v>3400</v>
      </c>
      <c r="F20" t="s">
        <v>1671</v>
      </c>
    </row>
    <row r="21" spans="1:6" x14ac:dyDescent="0.25">
      <c r="A21" t="s">
        <v>1444</v>
      </c>
      <c r="B21" t="s">
        <v>1201</v>
      </c>
      <c r="C21">
        <v>21</v>
      </c>
      <c r="D21">
        <v>50</v>
      </c>
      <c r="E21">
        <v>3000</v>
      </c>
      <c r="F21" t="s">
        <v>1671</v>
      </c>
    </row>
    <row r="22" spans="1:6" x14ac:dyDescent="0.25">
      <c r="A22" t="s">
        <v>1444</v>
      </c>
      <c r="B22" t="s">
        <v>1201</v>
      </c>
      <c r="C22">
        <v>51</v>
      </c>
      <c r="D22">
        <v>100</v>
      </c>
      <c r="E22">
        <v>2600</v>
      </c>
      <c r="F22" t="s">
        <v>1671</v>
      </c>
    </row>
    <row r="23" spans="1:6" x14ac:dyDescent="0.25">
      <c r="A23" t="s">
        <v>1449</v>
      </c>
      <c r="B23" t="s">
        <v>1205</v>
      </c>
      <c r="C23">
        <v>1</v>
      </c>
      <c r="D23">
        <v>10</v>
      </c>
      <c r="E23">
        <v>4500</v>
      </c>
      <c r="F23" t="s">
        <v>1672</v>
      </c>
    </row>
    <row r="24" spans="1:6" x14ac:dyDescent="0.25">
      <c r="A24" t="s">
        <v>1449</v>
      </c>
      <c r="B24" t="s">
        <v>1205</v>
      </c>
      <c r="C24">
        <v>11</v>
      </c>
      <c r="D24">
        <v>20</v>
      </c>
      <c r="E24">
        <v>3800</v>
      </c>
      <c r="F24" t="s">
        <v>1672</v>
      </c>
    </row>
    <row r="25" spans="1:6" x14ac:dyDescent="0.25">
      <c r="A25" t="s">
        <v>1449</v>
      </c>
      <c r="B25" t="s">
        <v>1205</v>
      </c>
      <c r="C25">
        <v>21</v>
      </c>
      <c r="D25">
        <v>50</v>
      </c>
      <c r="E25">
        <v>3200</v>
      </c>
      <c r="F25" t="s">
        <v>1672</v>
      </c>
    </row>
    <row r="26" spans="1:6" x14ac:dyDescent="0.25">
      <c r="A26" t="s">
        <v>1449</v>
      </c>
      <c r="B26" t="s">
        <v>1205</v>
      </c>
      <c r="C26">
        <v>51</v>
      </c>
      <c r="D26">
        <v>100</v>
      </c>
      <c r="E26">
        <v>2800</v>
      </c>
      <c r="F26" t="s">
        <v>1672</v>
      </c>
    </row>
    <row r="27" spans="1:6" x14ac:dyDescent="0.25">
      <c r="A27" t="s">
        <v>1624</v>
      </c>
      <c r="B27" t="s">
        <v>258</v>
      </c>
      <c r="C27">
        <v>1</v>
      </c>
      <c r="D27">
        <v>3</v>
      </c>
      <c r="E27">
        <v>8500</v>
      </c>
      <c r="F27" t="s">
        <v>1673</v>
      </c>
    </row>
    <row r="28" spans="1:6" x14ac:dyDescent="0.25">
      <c r="A28" t="s">
        <v>1624</v>
      </c>
      <c r="B28" t="s">
        <v>258</v>
      </c>
      <c r="C28">
        <v>4</v>
      </c>
      <c r="D28">
        <v>10</v>
      </c>
      <c r="E28">
        <v>7800</v>
      </c>
      <c r="F28" t="s">
        <v>1673</v>
      </c>
    </row>
    <row r="29" spans="1:6" x14ac:dyDescent="0.25">
      <c r="A29" t="s">
        <v>1624</v>
      </c>
      <c r="B29" t="s">
        <v>258</v>
      </c>
      <c r="C29">
        <v>11</v>
      </c>
      <c r="D29">
        <v>20</v>
      </c>
      <c r="E29">
        <v>7200</v>
      </c>
      <c r="F29" t="s">
        <v>1673</v>
      </c>
    </row>
    <row r="30" spans="1:6" x14ac:dyDescent="0.25">
      <c r="A30" t="s">
        <v>1544</v>
      </c>
      <c r="B30" t="s">
        <v>160</v>
      </c>
      <c r="C30">
        <v>1</v>
      </c>
      <c r="D30">
        <v>1</v>
      </c>
      <c r="E30">
        <v>1000</v>
      </c>
      <c r="F30" t="s">
        <v>1674</v>
      </c>
    </row>
    <row r="31" spans="1:6" x14ac:dyDescent="0.25">
      <c r="A31" t="s">
        <v>1544</v>
      </c>
      <c r="B31" t="s">
        <v>160</v>
      </c>
      <c r="C31">
        <v>2</v>
      </c>
      <c r="D31">
        <v>10</v>
      </c>
      <c r="E31">
        <v>500</v>
      </c>
      <c r="F31" t="s">
        <v>1674</v>
      </c>
    </row>
    <row r="32" spans="1:6" x14ac:dyDescent="0.25">
      <c r="A32" t="s">
        <v>1544</v>
      </c>
      <c r="B32" t="s">
        <v>160</v>
      </c>
      <c r="C32">
        <v>11</v>
      </c>
      <c r="D32">
        <v>50</v>
      </c>
      <c r="E32">
        <v>400</v>
      </c>
      <c r="F32" t="s">
        <v>1674</v>
      </c>
    </row>
    <row r="33" spans="1:6" x14ac:dyDescent="0.25">
      <c r="A33" t="s">
        <v>1544</v>
      </c>
      <c r="B33" t="s">
        <v>160</v>
      </c>
      <c r="C33">
        <v>51</v>
      </c>
      <c r="D33">
        <v>100</v>
      </c>
      <c r="E33">
        <v>200</v>
      </c>
      <c r="F33" t="s">
        <v>1674</v>
      </c>
    </row>
    <row r="34" spans="1:6" x14ac:dyDescent="0.25">
      <c r="A34" t="s">
        <v>1544</v>
      </c>
      <c r="B34" t="s">
        <v>160</v>
      </c>
      <c r="C34">
        <v>101</v>
      </c>
      <c r="D34">
        <v>99999</v>
      </c>
      <c r="E34">
        <v>100</v>
      </c>
      <c r="F34" t="s">
        <v>1674</v>
      </c>
    </row>
    <row r="35" spans="1:6" x14ac:dyDescent="0.25">
      <c r="A35" t="s">
        <v>1501</v>
      </c>
      <c r="B35" t="s">
        <v>118</v>
      </c>
      <c r="C35">
        <v>1</v>
      </c>
      <c r="D35">
        <v>1</v>
      </c>
      <c r="E35">
        <v>7000</v>
      </c>
      <c r="F35" t="s">
        <v>1675</v>
      </c>
    </row>
    <row r="36" spans="1:6" x14ac:dyDescent="0.25">
      <c r="A36" t="s">
        <v>1501</v>
      </c>
      <c r="B36" t="s">
        <v>118</v>
      </c>
      <c r="C36">
        <v>2</v>
      </c>
      <c r="D36">
        <v>10</v>
      </c>
      <c r="E36">
        <v>5000</v>
      </c>
      <c r="F36" t="s">
        <v>1675</v>
      </c>
    </row>
    <row r="37" spans="1:6" x14ac:dyDescent="0.25">
      <c r="A37" t="s">
        <v>1574</v>
      </c>
      <c r="B37" t="s">
        <v>196</v>
      </c>
      <c r="C37">
        <v>1</v>
      </c>
      <c r="D37">
        <v>1</v>
      </c>
      <c r="E37">
        <v>7000</v>
      </c>
      <c r="F37" t="s">
        <v>1675</v>
      </c>
    </row>
    <row r="38" spans="1:6" x14ac:dyDescent="0.25">
      <c r="A38" t="s">
        <v>1574</v>
      </c>
      <c r="B38" t="s">
        <v>196</v>
      </c>
      <c r="C38">
        <v>2</v>
      </c>
      <c r="D38">
        <v>10</v>
      </c>
      <c r="E38">
        <v>5000</v>
      </c>
      <c r="F38" t="s">
        <v>1675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3"/>
  <sheetViews>
    <sheetView workbookViewId="0"/>
  </sheetViews>
  <sheetFormatPr baseColWidth="10" defaultRowHeight="15" x14ac:dyDescent="0.25"/>
  <sheetData>
    <row r="1" spans="1:4" x14ac:dyDescent="0.25">
      <c r="A1" t="s">
        <v>1676</v>
      </c>
      <c r="B1" t="s">
        <v>1677</v>
      </c>
      <c r="C1" t="s">
        <v>1678</v>
      </c>
      <c r="D1" t="s">
        <v>492</v>
      </c>
    </row>
    <row r="2" spans="1:4" x14ac:dyDescent="0.25">
      <c r="A2" t="s">
        <v>1679</v>
      </c>
      <c r="B2" t="s">
        <v>19</v>
      </c>
    </row>
    <row r="3" spans="1:4" x14ac:dyDescent="0.25">
      <c r="A3" t="s">
        <v>17</v>
      </c>
      <c r="B3" t="s">
        <v>1680</v>
      </c>
      <c r="C3" t="s">
        <v>1681</v>
      </c>
    </row>
    <row r="4" spans="1:4" x14ac:dyDescent="0.25">
      <c r="A4" t="s">
        <v>1682</v>
      </c>
      <c r="B4" t="s">
        <v>1683</v>
      </c>
      <c r="C4" t="s">
        <v>1681</v>
      </c>
      <c r="D4" t="s">
        <v>1684</v>
      </c>
    </row>
    <row r="5" spans="1:4" x14ac:dyDescent="0.25">
      <c r="A5" t="s">
        <v>1685</v>
      </c>
      <c r="B5" t="s">
        <v>1316</v>
      </c>
      <c r="C5" t="s">
        <v>1681</v>
      </c>
      <c r="D5" t="s">
        <v>1686</v>
      </c>
    </row>
    <row r="6" spans="1:4" x14ac:dyDescent="0.25">
      <c r="A6" t="s">
        <v>1687</v>
      </c>
      <c r="B6" t="s">
        <v>1688</v>
      </c>
      <c r="C6" t="s">
        <v>1681</v>
      </c>
      <c r="D6" t="s">
        <v>1689</v>
      </c>
    </row>
    <row r="7" spans="1:4" x14ac:dyDescent="0.25">
      <c r="A7" t="s">
        <v>1690</v>
      </c>
      <c r="B7" t="s">
        <v>1361</v>
      </c>
      <c r="C7" t="s">
        <v>1681</v>
      </c>
      <c r="D7" t="s">
        <v>1689</v>
      </c>
    </row>
    <row r="8" spans="1:4" x14ac:dyDescent="0.25">
      <c r="A8" t="s">
        <v>1691</v>
      </c>
      <c r="B8" t="s">
        <v>1692</v>
      </c>
      <c r="C8" t="s">
        <v>1681</v>
      </c>
      <c r="D8" t="s">
        <v>1689</v>
      </c>
    </row>
    <row r="9" spans="1:4" x14ac:dyDescent="0.25">
      <c r="A9" t="s">
        <v>1693</v>
      </c>
      <c r="B9" t="s">
        <v>563</v>
      </c>
      <c r="C9" t="s">
        <v>1681</v>
      </c>
      <c r="D9" t="s">
        <v>1694</v>
      </c>
    </row>
    <row r="10" spans="1:4" x14ac:dyDescent="0.25">
      <c r="A10" t="s">
        <v>1679</v>
      </c>
      <c r="B10" t="s">
        <v>1695</v>
      </c>
    </row>
    <row r="11" spans="1:4" x14ac:dyDescent="0.25">
      <c r="A11" t="s">
        <v>1696</v>
      </c>
      <c r="B11" t="s">
        <v>1697</v>
      </c>
      <c r="C11" t="s">
        <v>1681</v>
      </c>
      <c r="D11" t="s">
        <v>1698</v>
      </c>
    </row>
    <row r="12" spans="1:4" x14ac:dyDescent="0.25">
      <c r="A12" t="s">
        <v>1699</v>
      </c>
      <c r="B12" t="s">
        <v>1700</v>
      </c>
      <c r="C12" t="s">
        <v>1681</v>
      </c>
      <c r="D12" t="s">
        <v>1701</v>
      </c>
    </row>
    <row r="13" spans="1:4" x14ac:dyDescent="0.25">
      <c r="A13" t="s">
        <v>1702</v>
      </c>
      <c r="B13" t="s">
        <v>1703</v>
      </c>
      <c r="C13" t="s">
        <v>1681</v>
      </c>
    </row>
    <row r="14" spans="1:4" x14ac:dyDescent="0.25">
      <c r="A14" t="s">
        <v>1679</v>
      </c>
      <c r="B14" t="s">
        <v>1704</v>
      </c>
    </row>
    <row r="15" spans="1:4" x14ac:dyDescent="0.25">
      <c r="A15" t="s">
        <v>1705</v>
      </c>
      <c r="C15" t="s">
        <v>1706</v>
      </c>
      <c r="D15" t="s">
        <v>1707</v>
      </c>
    </row>
    <row r="16" spans="1:4" x14ac:dyDescent="0.25">
      <c r="A16" t="s">
        <v>1708</v>
      </c>
      <c r="B16" t="s">
        <v>1791</v>
      </c>
      <c r="C16" t="s">
        <v>1681</v>
      </c>
      <c r="D16" t="s">
        <v>1721</v>
      </c>
    </row>
    <row r="17" spans="1:4" x14ac:dyDescent="0.25">
      <c r="A17" t="s">
        <v>1709</v>
      </c>
      <c r="C17" t="s">
        <v>1706</v>
      </c>
    </row>
    <row r="18" spans="1:4" x14ac:dyDescent="0.25">
      <c r="A18" t="s">
        <v>1710</v>
      </c>
      <c r="C18" t="s">
        <v>1706</v>
      </c>
    </row>
    <row r="19" spans="1:4" x14ac:dyDescent="0.25">
      <c r="A19" t="s">
        <v>1711</v>
      </c>
      <c r="C19" t="s">
        <v>1706</v>
      </c>
      <c r="D19" t="s">
        <v>1712</v>
      </c>
    </row>
    <row r="20" spans="1:4" x14ac:dyDescent="0.25">
      <c r="A20" t="s">
        <v>1679</v>
      </c>
      <c r="B20" t="s">
        <v>1713</v>
      </c>
    </row>
    <row r="21" spans="1:4" x14ac:dyDescent="0.25">
      <c r="A21" t="s">
        <v>1714</v>
      </c>
      <c r="C21" t="s">
        <v>1706</v>
      </c>
      <c r="D21" t="s">
        <v>1715</v>
      </c>
    </row>
    <row r="22" spans="1:4" x14ac:dyDescent="0.25">
      <c r="A22" t="s">
        <v>1716</v>
      </c>
      <c r="C22" t="s">
        <v>1706</v>
      </c>
      <c r="D22" t="s">
        <v>1717</v>
      </c>
    </row>
    <row r="23" spans="1:4" x14ac:dyDescent="0.25">
      <c r="A23" t="s">
        <v>1718</v>
      </c>
      <c r="B23" t="s">
        <v>1792</v>
      </c>
      <c r="C23" t="s">
        <v>1681</v>
      </c>
      <c r="D23" t="s">
        <v>1721</v>
      </c>
    </row>
    <row r="24" spans="1:4" x14ac:dyDescent="0.25">
      <c r="A24" t="s">
        <v>1719</v>
      </c>
      <c r="B24" t="s">
        <v>1737</v>
      </c>
      <c r="C24" t="s">
        <v>1793</v>
      </c>
      <c r="D24" t="s">
        <v>1794</v>
      </c>
    </row>
    <row r="25" spans="1:4" x14ac:dyDescent="0.25">
      <c r="A25" t="s">
        <v>1720</v>
      </c>
      <c r="C25" t="s">
        <v>1681</v>
      </c>
      <c r="D25" t="s">
        <v>1721</v>
      </c>
    </row>
    <row r="26" spans="1:4" x14ac:dyDescent="0.25">
      <c r="A26" t="s">
        <v>1722</v>
      </c>
      <c r="C26" t="s">
        <v>1706</v>
      </c>
      <c r="D26" t="s">
        <v>1723</v>
      </c>
    </row>
    <row r="27" spans="1:4" x14ac:dyDescent="0.25">
      <c r="A27" t="s">
        <v>1679</v>
      </c>
      <c r="B27" t="s">
        <v>1724</v>
      </c>
    </row>
    <row r="28" spans="1:4" x14ac:dyDescent="0.25">
      <c r="A28" t="s">
        <v>1725</v>
      </c>
      <c r="B28" t="s">
        <v>1726</v>
      </c>
      <c r="C28" t="s">
        <v>1681</v>
      </c>
    </row>
    <row r="29" spans="1:4" x14ac:dyDescent="0.25">
      <c r="A29" t="s">
        <v>1727</v>
      </c>
      <c r="B29" t="s">
        <v>1728</v>
      </c>
      <c r="C29" t="s">
        <v>1681</v>
      </c>
      <c r="D29" t="s">
        <v>1729</v>
      </c>
    </row>
    <row r="30" spans="1:4" x14ac:dyDescent="0.25">
      <c r="A30" t="s">
        <v>1730</v>
      </c>
      <c r="B30" t="s">
        <v>1731</v>
      </c>
      <c r="C30" t="s">
        <v>1681</v>
      </c>
      <c r="D30" t="s">
        <v>1732</v>
      </c>
    </row>
    <row r="31" spans="1:4" x14ac:dyDescent="0.25">
      <c r="A31" t="s">
        <v>1733</v>
      </c>
      <c r="B31" t="s">
        <v>1734</v>
      </c>
      <c r="C31" t="s">
        <v>1681</v>
      </c>
    </row>
    <row r="32" spans="1:4" x14ac:dyDescent="0.25">
      <c r="A32" t="s">
        <v>1735</v>
      </c>
      <c r="C32" t="s">
        <v>1681</v>
      </c>
      <c r="D32" t="s">
        <v>1721</v>
      </c>
    </row>
    <row r="33" spans="1:4" x14ac:dyDescent="0.25">
      <c r="A33" t="s">
        <v>1736</v>
      </c>
      <c r="C33" t="s">
        <v>1681</v>
      </c>
      <c r="D33" t="s">
        <v>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18</vt:i4>
      </vt:variant>
    </vt:vector>
  </HeadingPairs>
  <TitlesOfParts>
    <vt:vector size="29" baseType="lpstr">
      <vt:lpstr>Instrucciones</vt:lpstr>
      <vt:lpstr>Pliegos A3</vt:lpstr>
      <vt:lpstr>Lista de precios</vt:lpstr>
      <vt:lpstr>Productos reales</vt:lpstr>
      <vt:lpstr>Presupuestos (crudo)</vt:lpstr>
      <vt:lpstr>Lista maestra</vt:lpstr>
      <vt:lpstr>Productos</vt:lpstr>
      <vt:lpstr>Colecciones</vt:lpstr>
      <vt:lpstr>Escalas por unidad</vt:lpstr>
      <vt:lpstr>Escalas</vt:lpstr>
      <vt:lpstr>Datos del negocio</vt:lpstr>
      <vt:lpstr>Colecciones</vt:lpstr>
      <vt:lpstr>ESC_DESDE</vt:lpstr>
      <vt:lpstr>ESC_HASTA</vt:lpstr>
      <vt:lpstr>ESC_MAT</vt:lpstr>
      <vt:lpstr>ESC_PRECIO</vt:lpstr>
      <vt:lpstr>ESCU_DESDE</vt:lpstr>
      <vt:lpstr>ESCU_HASTA</vt:lpstr>
      <vt:lpstr>ESCU_ITEMS</vt:lpstr>
      <vt:lpstr>ESCU_PRECIO</vt:lpstr>
      <vt:lpstr>ESCU_PROD</vt:lpstr>
      <vt:lpstr>IMP_ALTO</vt:lpstr>
      <vt:lpstr>IMP_ANCHO</vt:lpstr>
      <vt:lpstr>MINIMO</vt:lpstr>
      <vt:lpstr>REDONDEO</vt:lpstr>
      <vt:lpstr>SEPARACION</vt:lpstr>
      <vt:lpstr>TARIFAS</vt:lpstr>
      <vt:lpstr>TRQ_ALTO</vt:lpstr>
      <vt:lpstr>TRQ_ANCHO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Juan Ignacio Porfilio</cp:lastModifiedBy>
  <dcterms:created xsi:type="dcterms:W3CDTF">2026-08-18T18:13:25Z</dcterms:created>
  <dcterms:modified xsi:type="dcterms:W3CDTF">2026-08-28T00:13:29Z</dcterms:modified>
</cp:coreProperties>
</file>